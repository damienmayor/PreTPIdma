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1. Pré-TPI\Rendu\"/>
    </mc:Choice>
  </mc:AlternateContent>
  <bookViews>
    <workbookView xWindow="135" yWindow="0" windowWidth="15960" windowHeight="21000" firstSheet="3" activeTab="3"/>
  </bookViews>
  <sheets>
    <sheet name="Base" sheetId="7" r:id="rId1"/>
    <sheet name="Planning" sheetId="1" r:id="rId2"/>
    <sheet name="Journal de travail" sheetId="6" r:id="rId3"/>
    <sheet name="Journal de bord" sheetId="8" r:id="rId4"/>
    <sheet name="Journal de travail temporaire" sheetId="9" r:id="rId5"/>
    <sheet name="Paramètres" sheetId="10" r:id="rId6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H24" i="9" l="1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H52" i="9" l="1"/>
  <c r="U74" i="1"/>
  <c r="B14" i="1" l="1"/>
  <c r="B12" i="1"/>
  <c r="B10" i="1"/>
  <c r="B8" i="1"/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54" i="1" l="1"/>
  <c r="U12" i="1" l="1"/>
  <c r="U14" i="1"/>
  <c r="U10" i="1"/>
  <c r="A30" i="1"/>
  <c r="U8" i="1"/>
  <c r="B54" i="6" l="1"/>
  <c r="B19" i="6" l="1"/>
  <c r="B24" i="6" l="1"/>
  <c r="B5" i="6" l="1"/>
  <c r="U64" i="1" l="1"/>
  <c r="U76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l="1"/>
  <c r="H2" i="1"/>
  <c r="C67" i="1"/>
  <c r="C69" i="1"/>
  <c r="C71" i="1"/>
  <c r="C41" i="1"/>
  <c r="C47" i="1"/>
  <c r="C35" i="1"/>
  <c r="C37" i="1"/>
  <c r="C43" i="1"/>
  <c r="C49" i="1"/>
  <c r="C39" i="1"/>
  <c r="C45" i="1"/>
  <c r="C51" i="1"/>
  <c r="C9" i="1"/>
  <c r="C61" i="1"/>
  <c r="C29" i="1"/>
  <c r="C77" i="1"/>
  <c r="C75" i="1"/>
  <c r="C65" i="1"/>
  <c r="C64" i="1"/>
  <c r="C63" i="1"/>
  <c r="C62" i="1"/>
  <c r="C59" i="1"/>
  <c r="C58" i="1"/>
  <c r="C57" i="1"/>
  <c r="C56" i="1"/>
  <c r="C55" i="1"/>
  <c r="C54" i="1"/>
  <c r="U52" i="1" s="1"/>
  <c r="C33" i="1"/>
  <c r="C32" i="1"/>
  <c r="U30" i="1" s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72" i="1"/>
  <c r="N3" i="1"/>
  <c r="F3" i="1"/>
  <c r="P3" i="1"/>
  <c r="H3" i="1"/>
  <c r="R3" i="1"/>
  <c r="J3" i="1"/>
  <c r="T3" i="1"/>
  <c r="L3" i="1"/>
  <c r="D3" i="1"/>
  <c r="H5" i="1"/>
  <c r="J2" i="1"/>
  <c r="U3" i="1" l="1"/>
  <c r="B3" i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T47" i="1" s="1"/>
  <c r="B79" i="6"/>
  <c r="B91" i="6"/>
  <c r="B61" i="6"/>
  <c r="B42" i="6"/>
  <c r="B67" i="6"/>
  <c r="B85" i="6"/>
  <c r="B36" i="6"/>
  <c r="B48" i="6"/>
  <c r="B17" i="6"/>
  <c r="B7" i="6"/>
  <c r="T49" i="1" s="1"/>
  <c r="B70" i="6"/>
  <c r="B51" i="6"/>
  <c r="B39" i="6"/>
  <c r="B58" i="6"/>
  <c r="B45" i="6"/>
  <c r="B21" i="6"/>
  <c r="B27" i="6"/>
  <c r="B64" i="6"/>
  <c r="B88" i="6"/>
  <c r="B94" i="6"/>
  <c r="B82" i="6"/>
  <c r="T15" i="1" l="1"/>
  <c r="T13" i="1"/>
  <c r="T21" i="1"/>
  <c r="T51" i="1"/>
  <c r="D67" i="1"/>
  <c r="D71" i="1"/>
  <c r="D69" i="1"/>
  <c r="D49" i="1"/>
  <c r="D47" i="1"/>
  <c r="D51" i="1"/>
  <c r="F69" i="1"/>
  <c r="F67" i="1"/>
  <c r="F71" i="1"/>
  <c r="F51" i="1"/>
  <c r="F49" i="1"/>
  <c r="F47" i="1"/>
  <c r="F45" i="1"/>
  <c r="D45" i="1"/>
  <c r="H27" i="1"/>
  <c r="H47" i="1"/>
  <c r="H71" i="1"/>
  <c r="H67" i="1"/>
  <c r="H69" i="1"/>
  <c r="H49" i="1"/>
  <c r="H45" i="1"/>
  <c r="H51" i="1"/>
  <c r="J71" i="1"/>
  <c r="J67" i="1"/>
  <c r="J69" i="1"/>
  <c r="J47" i="1"/>
  <c r="J51" i="1"/>
  <c r="J45" i="1"/>
  <c r="J49" i="1"/>
  <c r="L71" i="1"/>
  <c r="L67" i="1"/>
  <c r="L69" i="1"/>
  <c r="L47" i="1"/>
  <c r="L51" i="1"/>
  <c r="L45" i="1"/>
  <c r="L49" i="1"/>
  <c r="N69" i="1"/>
  <c r="N67" i="1"/>
  <c r="N71" i="1"/>
  <c r="N49" i="1"/>
  <c r="N47" i="1"/>
  <c r="N51" i="1"/>
  <c r="N45" i="1"/>
  <c r="P69" i="1"/>
  <c r="P71" i="1"/>
  <c r="P51" i="1"/>
  <c r="P67" i="1"/>
  <c r="P45" i="1"/>
  <c r="P49" i="1"/>
  <c r="P47" i="1"/>
  <c r="R71" i="1"/>
  <c r="R49" i="1"/>
  <c r="R69" i="1"/>
  <c r="R67" i="1"/>
  <c r="R45" i="1"/>
  <c r="R47" i="1"/>
  <c r="R51" i="1"/>
  <c r="T45" i="1"/>
  <c r="T67" i="1"/>
  <c r="T71" i="1"/>
  <c r="T69" i="1"/>
  <c r="D13" i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71" i="1" l="1"/>
  <c r="U45" i="1"/>
  <c r="U47" i="1"/>
  <c r="U49" i="1"/>
  <c r="U69" i="1"/>
  <c r="U51" i="1"/>
  <c r="U67" i="1"/>
  <c r="U13" i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<sst xmlns="http://schemas.openxmlformats.org/spreadsheetml/2006/main" count="171" uniqueCount="128">
  <si>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</si>
  <si>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</si>
  <si>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</si>
  <si>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</si>
  <si>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</si>
  <si>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</si>
  <si>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</si>
  <si>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</si>
  <si>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</si>
  <si>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</si>
  <si>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</si>
  <si>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</si>
  <si>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</si>
  <si>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</si>
  <si>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</si>
  <si>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</si>
  <si>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</si>
  <si>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</si>
  <si>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</si>
  <si>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</si>
  <si>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</si>
  <si>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</si>
  <si>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</si>
  <si>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</si>
  <si>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</si>
  <si>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</si>
  <si>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</si>
  <si>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</si>
  <si>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</si>
  <si>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</si>
  <si>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</si>
  <si>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</si>
  <si>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</si>
  <si>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</si>
  <si>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</si>
  <si>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</si>
  <si>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</si>
  <si>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</si>
  <si>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</si>
  <si>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</si>
  <si>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</si>
  <si>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</si>
  <si>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</si>
  <si>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</si>
  <si>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</si>
  <si>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</si>
  <si>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</si>
  <si>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</si>
  <si>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</si>
  <si>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</si>
  <si>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</si>
  <si>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</si>
  <si>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</si>
  <si>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</si>
  <si>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</si>
  <si>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</si>
  <si>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</si>
  <si>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</si>
  <si>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</si>
  <si>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</si>
  <si>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</si>
  <si>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</si>
  <si>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</si>
  <si>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</si>
  <si>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</si>
  <si>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Séance avec chef de projet</t>
  </si>
  <si>
    <t>Point hébdomadaire: suivi avancement</t>
  </si>
  <si>
    <t>discussion avec chef de projet</t>
  </si>
  <si>
    <t>PC12 arrive à rejoindre LAN1</t>
  </si>
  <si>
    <t>Semaine</t>
  </si>
  <si>
    <t>Categorie</t>
  </si>
  <si>
    <t>Description</t>
  </si>
  <si>
    <t>Remarques/problèmes</t>
  </si>
  <si>
    <t>Début</t>
  </si>
  <si>
    <t>Fin</t>
  </si>
  <si>
    <t>Mise en place</t>
  </si>
  <si>
    <t>Début du Pré-TPI</t>
  </si>
  <si>
    <t>Lancement du projet de Pré-TPI, téléchargement documents &amp; personnalisation, création des journaux, création Github</t>
  </si>
  <si>
    <t>Recherche documentation</t>
  </si>
  <si>
    <t>Normes ISO:27001 afin de créer un politique de sécurité de l'information pour mon entreprise</t>
  </si>
  <si>
    <t>Divers</t>
  </si>
  <si>
    <t>Calculs moyennes, attente</t>
  </si>
  <si>
    <t>Reçu sujet</t>
  </si>
  <si>
    <t>Prise en main d'un Fortinet: prise en main, comprendre le fonctionnement, implanter un/des firewall virtuels + début recherches Fortinet</t>
  </si>
  <si>
    <t>Découverte cahier des charges</t>
  </si>
  <si>
    <t>Lecture, préparation questions pour Mr. Varela</t>
  </si>
  <si>
    <t>Implémentation</t>
  </si>
  <si>
    <t>Créations de VMs</t>
  </si>
  <si>
    <t>Machines virtuelles VM1 et VM2 selon schéma. Pas touches aux réglages réseaux, NAT et DHCP reçu de l'école</t>
  </si>
  <si>
    <t>Schéma logique</t>
  </si>
  <si>
    <t>Préparation du schéma logique, avec les éléments actuels.</t>
  </si>
  <si>
    <t>Mis en en place documentation</t>
  </si>
  <si>
    <t>Création document principal</t>
  </si>
  <si>
    <t>Réception fortinet</t>
  </si>
  <si>
    <t>Réception, déballage et inventaire du matériel reçu</t>
  </si>
  <si>
    <t>Découverte du matériel</t>
  </si>
  <si>
    <t>Lecture mode d'emploi et recherche documentation supplémentaire</t>
  </si>
  <si>
    <t>Prise de contact Sip</t>
  </si>
  <si>
    <t>Préparation de la communication au SIp pour sortie sur Internet + récupération règles de sorties du CPNV + visite Sip</t>
  </si>
  <si>
    <t>Installation</t>
  </si>
  <si>
    <t>Installation physique du Fortinet sur PC16 + cable management</t>
  </si>
  <si>
    <t>Découverte interface</t>
  </si>
  <si>
    <t>Premiers pas, découverte interface</t>
  </si>
  <si>
    <t>Premiers pas, reset complet du système</t>
  </si>
  <si>
    <t>Journaux</t>
  </si>
  <si>
    <t>Mise à jour des journaux</t>
  </si>
  <si>
    <t>Analyse préliminaire: introduction, objectifs</t>
  </si>
  <si>
    <t>Discussion avec Mr. Varela</t>
  </si>
  <si>
    <t>Avancée du projet, personne de contact, documentation à rendre.</t>
  </si>
  <si>
    <t>Analyse</t>
  </si>
  <si>
    <t>Panne du FortiGate, dépannage, cause cable ethernet RJ45 FG80F - PC05 défectueux, remplacé.</t>
  </si>
  <si>
    <t>Types de tâches</t>
  </si>
  <si>
    <t>Tests</t>
  </si>
  <si>
    <t>Absence</t>
  </si>
  <si>
    <t>Réorganisation documentation</t>
  </si>
  <si>
    <t>Découverte</t>
  </si>
  <si>
    <t>Documentation de FortiOS ainsi que des différentes possibilités du FortiGate 80F</t>
  </si>
  <si>
    <t>Branchement et mise en route</t>
  </si>
  <si>
    <t>Toujours pas de chef de projet pour remplacer Mr. Varela</t>
  </si>
  <si>
    <t>Phan-Thanh Hao nous accuse de vouloir "l'entourlouper" en demandant quels projets il va superviser…</t>
  </si>
  <si>
    <t>Visionnage vidéo</t>
  </si>
  <si>
    <t>Recherche mods d'emplois et autres guides.</t>
  </si>
  <si>
    <t>Rennomage de l'hôte, création de compte admin Damien et tentatives infructueuses de création de LANs</t>
  </si>
  <si>
    <t>Vidéo explicative de la gestion de base du FortiGate</t>
  </si>
  <si>
    <t>Refonte total de la structure de fichier pour le projet, création des documents prévu pour l'entier du projet. Mise à jour du journal de travail</t>
  </si>
  <si>
    <t>Stratégie de test</t>
  </si>
  <si>
    <t>Création du document de stratégie de test et définition de cette dernière</t>
  </si>
  <si>
    <t>Mr. Konoutse est le nouveau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</si>
</sst>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164" fontId="4" fillId="0" borderId="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11" xfId="0" quotePrefix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6" fillId="2" borderId="1" xfId="0" applyNumberFormat="1" applyFont="1" applyFill="1" applyBorder="1" applyAlignment="1">
      <alignment vertical="center" wrapText="1"/>
    </xf>
    <xf numFmtId="164" fontId="3" fillId="5" borderId="10" xfId="0" applyNumberFormat="1" applyFont="1" applyFill="1" applyBorder="1" applyAlignment="1">
      <alignment horizontal="left" vertical="center"/>
    </xf>
    <xf numFmtId="164" fontId="3" fillId="4" borderId="10" xfId="0" applyNumberFormat="1" applyFont="1" applyFill="1" applyBorder="1" applyAlignment="1">
      <alignment vertical="center"/>
    </xf>
    <xf numFmtId="164" fontId="3" fillId="7" borderId="10" xfId="0" applyNumberFormat="1" applyFont="1" applyFill="1" applyBorder="1" applyAlignment="1">
      <alignment horizontal="left" vertical="center"/>
    </xf>
    <xf numFmtId="164" fontId="3" fillId="8" borderId="10" xfId="0" applyNumberFormat="1" applyFont="1" applyFill="1" applyBorder="1" applyAlignment="1">
      <alignment vertical="center"/>
    </xf>
    <xf numFmtId="164" fontId="3" fillId="9" borderId="10" xfId="0" applyNumberFormat="1" applyFont="1" applyFill="1" applyBorder="1" applyAlignment="1">
      <alignment vertical="center"/>
    </xf>
    <xf numFmtId="0" fontId="5" fillId="0" borderId="11" xfId="0" quotePrefix="1" applyFont="1" applyBorder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left" vertical="center" wrapText="1"/>
    </xf>
    <xf numFmtId="164" fontId="3" fillId="0" borderId="0" xfId="0" applyNumberFormat="1" applyFont="1" applyAlignment="1">
      <alignment horizontal="center" wrapText="1"/>
    </xf>
    <xf numFmtId="164" fontId="3" fillId="0" borderId="0" xfId="0" applyNumberFormat="1" applyFont="1" applyAlignment="1">
      <alignment horizontal="left" vertical="center" wrapText="1"/>
    </xf>
    <xf numFmtId="166" fontId="1" fillId="0" borderId="8" xfId="0" applyNumberFormat="1" applyFont="1" applyBorder="1" applyAlignment="1">
      <alignment horizontal="center" vertical="center" textRotation="90" wrapText="1"/>
    </xf>
    <xf numFmtId="166" fontId="1" fillId="0" borderId="2" xfId="0" applyNumberFormat="1" applyFont="1" applyBorder="1" applyAlignment="1">
      <alignment horizontal="center" vertical="center" textRotation="90"/>
    </xf>
    <xf numFmtId="166" fontId="1" fillId="0" borderId="2" xfId="0" applyNumberFormat="1" applyFont="1" applyBorder="1" applyAlignment="1">
      <alignment horizontal="center" vertical="center" textRotation="90" wrapText="1"/>
    </xf>
    <xf numFmtId="164" fontId="2" fillId="0" borderId="0" xfId="0" applyNumberFormat="1" applyFont="1" applyAlignment="1">
      <alignment horizontal="center" vertical="center" textRotation="90"/>
    </xf>
    <xf numFmtId="164" fontId="1" fillId="3" borderId="14" xfId="0" applyNumberFormat="1" applyFont="1" applyFill="1" applyBorder="1" applyAlignment="1">
      <alignment horizontal="left" vertical="center"/>
    </xf>
    <xf numFmtId="164" fontId="2" fillId="0" borderId="15" xfId="0" applyNumberFormat="1" applyFont="1" applyBorder="1" applyAlignment="1">
      <alignment horizontal="center" vertical="center"/>
    </xf>
    <xf numFmtId="164" fontId="1" fillId="6" borderId="16" xfId="0" applyNumberFormat="1" applyFont="1" applyFill="1" applyBorder="1" applyAlignment="1">
      <alignment horizontal="left" vertical="center"/>
    </xf>
    <xf numFmtId="164" fontId="2" fillId="6" borderId="17" xfId="0" applyNumberFormat="1" applyFont="1" applyFill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3" fillId="4" borderId="11" xfId="0" applyNumberFormat="1" applyFont="1" applyFill="1" applyBorder="1" applyAlignment="1">
      <alignment vertical="center"/>
    </xf>
    <xf numFmtId="164" fontId="2" fillId="4" borderId="11" xfId="0" applyNumberFormat="1" applyFont="1" applyFill="1" applyBorder="1" applyAlignment="1">
      <alignment vertical="center"/>
    </xf>
    <xf numFmtId="164" fontId="1" fillId="3" borderId="22" xfId="0" applyNumberFormat="1" applyFont="1" applyFill="1" applyBorder="1" applyAlignment="1">
      <alignment horizontal="center" vertical="center"/>
    </xf>
    <xf numFmtId="164" fontId="3" fillId="4" borderId="12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4" borderId="9" xfId="0" applyNumberFormat="1" applyFont="1" applyFill="1" applyBorder="1" applyAlignment="1">
      <alignment vertical="center"/>
    </xf>
    <xf numFmtId="164" fontId="1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2" fillId="2" borderId="2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6" fillId="2" borderId="18" xfId="0" applyNumberFormat="1" applyFont="1" applyFill="1" applyBorder="1" applyAlignment="1">
      <alignment vertical="center" wrapText="1"/>
    </xf>
    <xf numFmtId="164" fontId="6" fillId="6" borderId="19" xfId="0" applyNumberFormat="1" applyFont="1" applyFill="1" applyBorder="1" applyAlignment="1">
      <alignment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164" fontId="2" fillId="2" borderId="20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3" fillId="5" borderId="11" xfId="0" applyNumberFormat="1" applyFont="1" applyFill="1" applyBorder="1" applyAlignment="1">
      <alignment vertical="center" wrapText="1"/>
    </xf>
    <xf numFmtId="164" fontId="2" fillId="5" borderId="11" xfId="0" applyNumberFormat="1" applyFont="1" applyFill="1" applyBorder="1" applyAlignment="1">
      <alignment vertical="center"/>
    </xf>
    <xf numFmtId="164" fontId="3" fillId="5" borderId="12" xfId="0" applyNumberFormat="1" applyFont="1" applyFill="1" applyBorder="1" applyAlignment="1">
      <alignment horizontal="left" vertical="center"/>
    </xf>
    <xf numFmtId="164" fontId="3" fillId="5" borderId="9" xfId="0" applyNumberFormat="1" applyFont="1" applyFill="1" applyBorder="1" applyAlignment="1">
      <alignment vertical="center" wrapText="1"/>
    </xf>
    <xf numFmtId="164" fontId="2" fillId="5" borderId="9" xfId="0" applyNumberFormat="1" applyFont="1" applyFill="1" applyBorder="1" applyAlignment="1">
      <alignment horizontal="center" vertical="center"/>
    </xf>
    <xf numFmtId="164" fontId="3" fillId="7" borderId="11" xfId="0" applyNumberFormat="1" applyFont="1" applyFill="1" applyBorder="1" applyAlignment="1">
      <alignment vertical="center"/>
    </xf>
    <xf numFmtId="164" fontId="2" fillId="7" borderId="11" xfId="0" applyNumberFormat="1" applyFont="1" applyFill="1" applyBorder="1" applyAlignment="1">
      <alignment vertical="center"/>
    </xf>
    <xf numFmtId="164" fontId="3" fillId="7" borderId="12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2" fillId="7" borderId="9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2" fillId="8" borderId="11" xfId="0" applyNumberFormat="1" applyFont="1" applyFill="1" applyBorder="1" applyAlignment="1">
      <alignment vertical="center"/>
    </xf>
    <xf numFmtId="164" fontId="3" fillId="8" borderId="12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2" fillId="8" borderId="9" xfId="0" applyNumberFormat="1" applyFont="1" applyFill="1" applyBorder="1" applyAlignment="1">
      <alignment vertical="center"/>
    </xf>
    <xf numFmtId="164" fontId="2" fillId="0" borderId="26" xfId="0" applyNumberFormat="1" applyFont="1" applyBorder="1" applyAlignment="1">
      <alignment horizontal="center" vertical="center"/>
    </xf>
    <xf numFmtId="164" fontId="3" fillId="9" borderId="11" xfId="0" applyNumberFormat="1" applyFont="1" applyFill="1" applyBorder="1" applyAlignment="1">
      <alignment vertical="center"/>
    </xf>
    <xf numFmtId="164" fontId="2" fillId="9" borderId="11" xfId="0" applyNumberFormat="1" applyFont="1" applyFill="1" applyBorder="1" applyAlignment="1">
      <alignment vertical="center"/>
    </xf>
    <xf numFmtId="164" fontId="3" fillId="9" borderId="12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2" fillId="9" borderId="9" xfId="0" applyNumberFormat="1" applyFont="1" applyFill="1" applyBorder="1" applyAlignment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Alignment="1" applyProtection="1">
      <alignment horizontal="left" vertical="center"/>
      <protection locked="0"/>
    </xf>
    <xf numFmtId="0" fontId="14" fillId="3" borderId="0" xfId="0" applyFont="1" applyFill="1"/>
    <xf numFmtId="0" fontId="14" fillId="0" borderId="0" xfId="0" applyFont="1"/>
    <xf numFmtId="0" fontId="15" fillId="3" borderId="0" xfId="0" applyFont="1" applyFill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24" xfId="0" applyFont="1" applyBorder="1" applyAlignment="1">
      <alignment horizontal="center" vertical="top"/>
    </xf>
    <xf numFmtId="0" fontId="15" fillId="0" borderId="24" xfId="0" applyFont="1" applyBorder="1" applyAlignment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Font="1" applyBorder="1" applyAlignment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Font="1" applyBorder="1" applyAlignment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/>
    <xf numFmtId="0" fontId="18" fillId="0" borderId="0" xfId="0" applyNumberFormat="1" applyFont="1"/>
    <xf numFmtId="167" fontId="18" fillId="0" borderId="0" xfId="0" applyNumberFormat="1" applyFont="1"/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D1" workbookViewId="0">
      <selection activeCell="G59" sqref="G59"/>
    </sheetView>
  </sheetViews>
  <sheetFormatPr baseColWidth="10" defaultRowHeight="11.25" x14ac:dyDescent="0.2"/>
  <cols>
    <col min="1" max="1" width="26.5703125" style="74" bestFit="1" customWidth="1"/>
    <col min="2" max="2" width="14.140625" style="74" customWidth="1"/>
    <col min="3" max="3" width="16.5703125" style="74" customWidth="1"/>
    <col min="4" max="4" width="17.28515625" style="74" customWidth="1"/>
    <col min="5" max="5" width="3.85546875" style="74" customWidth="1"/>
    <col min="6" max="6" width="24.140625" style="74" customWidth="1"/>
    <col min="7" max="7" width="51" style="74" customWidth="1"/>
    <col min="8" max="16384" width="11.42578125" style="74"/>
  </cols>
  <sheetData>
    <row r="1" spans="1:8" x14ac:dyDescent="0.2">
      <c r="A1" s="73"/>
      <c r="B1" s="73"/>
      <c r="C1" s="73"/>
      <c r="D1" s="73"/>
      <c r="E1" s="73"/>
      <c r="F1" s="73"/>
      <c r="G1" s="73"/>
      <c r="H1" s="73"/>
    </row>
    <row r="2" spans="1:8" x14ac:dyDescent="0.2">
      <c r="A2" s="73"/>
      <c r="B2" s="73"/>
      <c r="C2" s="73" t="s">
        <v>10</v>
      </c>
      <c r="D2" s="73"/>
      <c r="E2" s="73"/>
      <c r="F2" s="73"/>
      <c r="G2" s="73"/>
      <c r="H2" s="73"/>
    </row>
    <row r="3" spans="1:8" x14ac:dyDescent="0.2">
      <c r="A3" s="75" t="s">
        <v>12</v>
      </c>
      <c r="B3" s="75" t="s">
        <v>15</v>
      </c>
      <c r="C3" s="75" t="s">
        <v>7</v>
      </c>
      <c r="D3" s="75" t="s">
        <v>11</v>
      </c>
      <c r="E3" s="75"/>
      <c r="F3" s="75" t="s">
        <v>13</v>
      </c>
      <c r="G3" s="75" t="s">
        <v>9</v>
      </c>
      <c r="H3" s="73"/>
    </row>
    <row r="4" spans="1:8" x14ac:dyDescent="0.2">
      <c r="A4" s="76" t="s">
        <v>22</v>
      </c>
      <c r="B4" s="77">
        <v>44957</v>
      </c>
      <c r="C4" s="78"/>
      <c r="D4" s="79"/>
      <c r="E4" s="73"/>
      <c r="F4" s="76" t="s">
        <v>23</v>
      </c>
      <c r="G4" s="76" t="s">
        <v>28</v>
      </c>
      <c r="H4" s="73"/>
    </row>
    <row r="5" spans="1:8" x14ac:dyDescent="0.2">
      <c r="A5" s="81"/>
      <c r="B5" s="73"/>
      <c r="C5" s="78" t="s">
        <v>20</v>
      </c>
      <c r="D5" s="79" t="s">
        <v>21</v>
      </c>
      <c r="E5" s="73"/>
      <c r="F5" s="82"/>
      <c r="G5" s="81" t="s">
        <v>25</v>
      </c>
      <c r="H5" s="73"/>
    </row>
    <row r="6" spans="1:8" x14ac:dyDescent="0.2">
      <c r="A6" s="84"/>
      <c r="B6" s="73"/>
      <c r="C6" s="73"/>
      <c r="D6" s="73"/>
      <c r="E6" s="73"/>
      <c r="F6" s="82"/>
      <c r="G6" s="83" t="s">
        <v>26</v>
      </c>
      <c r="H6" s="73"/>
    </row>
    <row r="7" spans="1:8" x14ac:dyDescent="0.2">
      <c r="A7" s="73"/>
      <c r="B7" s="73"/>
      <c r="C7" s="73"/>
      <c r="D7" s="73"/>
      <c r="E7" s="73"/>
      <c r="F7" s="82"/>
      <c r="G7" s="83" t="s">
        <v>27</v>
      </c>
      <c r="H7" s="73"/>
    </row>
    <row r="8" spans="1:8" x14ac:dyDescent="0.2">
      <c r="A8" s="73"/>
      <c r="B8" s="73"/>
      <c r="C8" s="73"/>
      <c r="D8" s="73"/>
      <c r="E8" s="73"/>
      <c r="F8" s="76" t="s">
        <v>24</v>
      </c>
      <c r="G8" s="76" t="s">
        <v>29</v>
      </c>
      <c r="H8" s="73"/>
    </row>
    <row r="9" spans="1:8" x14ac:dyDescent="0.2">
      <c r="A9" s="73"/>
      <c r="B9" s="73"/>
      <c r="C9" s="73"/>
      <c r="D9" s="73"/>
      <c r="E9" s="73"/>
      <c r="F9" s="82"/>
      <c r="G9" s="81" t="s">
        <v>30</v>
      </c>
      <c r="H9" s="73"/>
    </row>
    <row r="10" spans="1:8" x14ac:dyDescent="0.2">
      <c r="A10" s="73"/>
      <c r="B10" s="73"/>
      <c r="C10" s="73"/>
      <c r="D10" s="73"/>
      <c r="E10" s="73"/>
      <c r="F10" s="82"/>
      <c r="G10" s="81" t="s">
        <v>31</v>
      </c>
      <c r="H10" s="73"/>
    </row>
    <row r="11" spans="1:8" x14ac:dyDescent="0.2">
      <c r="A11" s="73"/>
      <c r="B11" s="73"/>
      <c r="C11" s="73"/>
      <c r="D11" s="73"/>
      <c r="E11" s="73"/>
      <c r="F11" s="82"/>
      <c r="G11" s="81" t="s">
        <v>32</v>
      </c>
      <c r="H11" s="73"/>
    </row>
    <row r="12" spans="1:8" x14ac:dyDescent="0.2">
      <c r="A12" s="73"/>
      <c r="B12" s="73"/>
      <c r="C12" s="73"/>
      <c r="D12" s="73"/>
      <c r="E12" s="73"/>
      <c r="F12" s="82"/>
      <c r="G12" s="81" t="s">
        <v>33</v>
      </c>
      <c r="H12" s="73"/>
    </row>
    <row r="13" spans="1:8" x14ac:dyDescent="0.2">
      <c r="A13" s="73"/>
      <c r="B13" s="73"/>
      <c r="C13" s="73"/>
      <c r="D13" s="73"/>
      <c r="E13" s="73"/>
      <c r="F13" s="85"/>
      <c r="G13" s="81" t="s">
        <v>34</v>
      </c>
      <c r="H13" s="73"/>
    </row>
    <row r="14" spans="1:8" x14ac:dyDescent="0.2">
      <c r="A14" s="73"/>
      <c r="B14" s="73"/>
      <c r="C14" s="73"/>
      <c r="D14" s="73"/>
      <c r="E14" s="73"/>
      <c r="F14" s="76" t="s">
        <v>17</v>
      </c>
      <c r="G14" s="80" t="s">
        <v>35</v>
      </c>
      <c r="H14" s="73"/>
    </row>
    <row r="15" spans="1:8" x14ac:dyDescent="0.2">
      <c r="A15" s="73"/>
      <c r="B15" s="73"/>
      <c r="C15" s="73"/>
      <c r="D15" s="73"/>
      <c r="E15" s="73"/>
      <c r="F15" s="82"/>
      <c r="G15" s="83" t="s">
        <v>36</v>
      </c>
      <c r="H15" s="73"/>
    </row>
    <row r="16" spans="1:8" x14ac:dyDescent="0.2">
      <c r="A16" s="73"/>
      <c r="B16" s="73"/>
      <c r="C16" s="73"/>
      <c r="D16" s="73"/>
      <c r="E16" s="73"/>
      <c r="F16" s="82"/>
      <c r="G16" s="83" t="s">
        <v>37</v>
      </c>
      <c r="H16" s="73"/>
    </row>
    <row r="17" spans="1:8" x14ac:dyDescent="0.2">
      <c r="A17" s="73"/>
      <c r="B17" s="73"/>
      <c r="C17" s="73"/>
      <c r="D17" s="73"/>
      <c r="E17" s="73"/>
      <c r="F17" s="82"/>
      <c r="G17" s="83" t="s">
        <v>38</v>
      </c>
      <c r="H17" s="73"/>
    </row>
    <row r="18" spans="1:8" x14ac:dyDescent="0.2">
      <c r="A18" s="73"/>
      <c r="B18" s="73"/>
      <c r="C18" s="73"/>
      <c r="D18" s="73"/>
      <c r="E18" s="73"/>
      <c r="F18" s="82"/>
      <c r="G18" s="83" t="s">
        <v>39</v>
      </c>
      <c r="H18" s="73"/>
    </row>
    <row r="19" spans="1:8" x14ac:dyDescent="0.2">
      <c r="A19" s="73"/>
      <c r="B19" s="73"/>
      <c r="C19" s="73"/>
      <c r="D19" s="73"/>
      <c r="E19" s="73"/>
      <c r="F19" s="82"/>
      <c r="G19" s="83" t="s">
        <v>40</v>
      </c>
      <c r="H19" s="73"/>
    </row>
    <row r="20" spans="1:8" x14ac:dyDescent="0.2">
      <c r="A20" s="73"/>
      <c r="B20" s="73"/>
      <c r="C20" s="73"/>
      <c r="D20" s="73"/>
      <c r="E20" s="73"/>
      <c r="F20" s="82"/>
      <c r="G20" s="83" t="s">
        <v>41</v>
      </c>
      <c r="H20" s="73"/>
    </row>
    <row r="21" spans="1:8" x14ac:dyDescent="0.2">
      <c r="A21" s="73"/>
      <c r="B21" s="73"/>
      <c r="C21" s="73"/>
      <c r="D21" s="73"/>
      <c r="E21" s="73"/>
      <c r="F21" s="82"/>
      <c r="G21" s="83" t="s">
        <v>42</v>
      </c>
      <c r="H21" s="73"/>
    </row>
    <row r="22" spans="1:8" x14ac:dyDescent="0.2">
      <c r="A22" s="73"/>
      <c r="B22" s="73"/>
      <c r="C22" s="73"/>
      <c r="D22" s="73"/>
      <c r="E22" s="73"/>
      <c r="F22" s="82"/>
      <c r="G22" s="83" t="s">
        <v>43</v>
      </c>
      <c r="H22" s="73"/>
    </row>
    <row r="23" spans="1:8" x14ac:dyDescent="0.2">
      <c r="A23" s="73"/>
      <c r="B23" s="73"/>
      <c r="C23" s="73"/>
      <c r="D23" s="73"/>
      <c r="E23" s="73"/>
      <c r="F23" s="82"/>
      <c r="G23" s="83" t="s">
        <v>44</v>
      </c>
      <c r="H23" s="73"/>
    </row>
    <row r="24" spans="1:8" x14ac:dyDescent="0.2">
      <c r="A24" s="73"/>
      <c r="B24" s="73"/>
      <c r="C24" s="73"/>
      <c r="D24" s="73"/>
      <c r="E24" s="73"/>
      <c r="F24" s="76" t="s">
        <v>18</v>
      </c>
      <c r="G24" s="76" t="s">
        <v>45</v>
      </c>
      <c r="H24" s="73"/>
    </row>
    <row r="25" spans="1:8" x14ac:dyDescent="0.2">
      <c r="A25" s="73"/>
      <c r="B25" s="73"/>
      <c r="C25" s="73"/>
      <c r="D25" s="73"/>
      <c r="E25" s="73"/>
      <c r="F25" s="82"/>
      <c r="G25" s="81" t="s">
        <v>46</v>
      </c>
      <c r="H25" s="73"/>
    </row>
    <row r="26" spans="1:8" x14ac:dyDescent="0.2">
      <c r="A26" s="73"/>
      <c r="B26" s="73"/>
      <c r="C26" s="73"/>
      <c r="D26" s="73"/>
      <c r="E26" s="73"/>
      <c r="F26" s="82"/>
      <c r="G26" s="81" t="s">
        <v>47</v>
      </c>
      <c r="H26" s="73"/>
    </row>
    <row r="27" spans="1:8" x14ac:dyDescent="0.2">
      <c r="A27" s="73"/>
      <c r="B27" s="73"/>
      <c r="C27" s="73"/>
      <c r="D27" s="73"/>
      <c r="E27" s="73"/>
      <c r="F27" s="82"/>
      <c r="G27" s="81" t="s">
        <v>68</v>
      </c>
      <c r="H27" s="73"/>
    </row>
    <row r="28" spans="1:8" x14ac:dyDescent="0.2">
      <c r="A28" s="73"/>
      <c r="B28" s="73"/>
      <c r="C28" s="73"/>
      <c r="D28" s="73"/>
      <c r="E28" s="73"/>
      <c r="F28" s="82"/>
      <c r="G28" s="81" t="s">
        <v>49</v>
      </c>
      <c r="H28" s="73"/>
    </row>
    <row r="29" spans="1:8" x14ac:dyDescent="0.2">
      <c r="A29" s="73"/>
      <c r="B29" s="73"/>
      <c r="C29" s="73"/>
      <c r="D29" s="73"/>
      <c r="E29" s="73"/>
      <c r="F29" s="82"/>
      <c r="G29" s="81" t="s">
        <v>50</v>
      </c>
      <c r="H29" s="73"/>
    </row>
    <row r="30" spans="1:8" x14ac:dyDescent="0.2">
      <c r="A30" s="73"/>
      <c r="B30" s="73"/>
      <c r="C30" s="73"/>
      <c r="D30" s="73"/>
      <c r="E30" s="73"/>
      <c r="F30" s="82"/>
      <c r="G30" s="81" t="s">
        <v>48</v>
      </c>
      <c r="H30" s="73"/>
    </row>
    <row r="31" spans="1:8" x14ac:dyDescent="0.2">
      <c r="A31" s="73"/>
      <c r="B31" s="73"/>
      <c r="C31" s="73"/>
      <c r="D31" s="73"/>
      <c r="E31" s="73"/>
      <c r="F31" s="82"/>
      <c r="G31" s="81" t="s">
        <v>51</v>
      </c>
      <c r="H31" s="73"/>
    </row>
    <row r="32" spans="1:8" x14ac:dyDescent="0.2">
      <c r="A32" s="73"/>
      <c r="B32" s="73"/>
      <c r="C32" s="73"/>
      <c r="D32" s="73"/>
      <c r="E32" s="73"/>
      <c r="F32" s="85"/>
      <c r="G32" s="81" t="s">
        <v>50</v>
      </c>
      <c r="H32" s="73"/>
    </row>
    <row r="33" spans="1:8" x14ac:dyDescent="0.2">
      <c r="A33" s="73"/>
      <c r="B33" s="73"/>
      <c r="C33" s="73"/>
      <c r="D33" s="73"/>
      <c r="E33" s="73"/>
      <c r="F33" s="76" t="s">
        <v>16</v>
      </c>
      <c r="G33" s="76" t="s">
        <v>52</v>
      </c>
      <c r="H33" s="73"/>
    </row>
    <row r="34" spans="1:8" x14ac:dyDescent="0.2">
      <c r="A34" s="73"/>
      <c r="B34" s="73"/>
      <c r="C34" s="73"/>
      <c r="D34" s="73"/>
      <c r="E34" s="73"/>
      <c r="F34" s="85"/>
      <c r="G34" s="84" t="s">
        <v>53</v>
      </c>
      <c r="H34" s="73"/>
    </row>
    <row r="35" spans="1:8" x14ac:dyDescent="0.2">
      <c r="A35" s="73"/>
      <c r="B35" s="73"/>
      <c r="C35" s="73"/>
      <c r="D35" s="73"/>
      <c r="E35" s="73"/>
      <c r="F35" s="73"/>
      <c r="G35" s="73"/>
      <c r="H35" s="73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zoomScale="70" zoomScaleNormal="70" zoomScalePageLayoutView="70" workbookViewId="0">
      <selection activeCell="L83" sqref="L83"/>
    </sheetView>
  </sheetViews>
  <sheetFormatPr baseColWidth="10" defaultRowHeight="16.5" x14ac:dyDescent="0.25"/>
  <cols>
    <col min="1" max="1" width="50.28515625" style="18" bestFit="1" customWidth="1"/>
    <col min="2" max="2" width="46.85546875" style="18" customWidth="1"/>
    <col min="3" max="3" width="8.28515625" style="18" bestFit="1" customWidth="1"/>
    <col min="4" max="4" width="8.28515625" style="18" customWidth="1"/>
    <col min="5" max="5" width="1.42578125" style="18" customWidth="1"/>
    <col min="6" max="6" width="8" style="18" bestFit="1" customWidth="1"/>
    <col min="7" max="7" width="1.42578125" style="18" customWidth="1"/>
    <col min="8" max="8" width="7.85546875" style="18" customWidth="1"/>
    <col min="9" max="9" width="1.42578125" style="18" customWidth="1"/>
    <col min="10" max="10" width="8" style="18" customWidth="1"/>
    <col min="11" max="11" width="1.42578125" style="18" customWidth="1"/>
    <col min="12" max="12" width="7.85546875" style="18" bestFit="1" customWidth="1"/>
    <col min="13" max="13" width="1.42578125" style="18" customWidth="1"/>
    <col min="14" max="14" width="8.28515625" style="18" bestFit="1" customWidth="1"/>
    <col min="15" max="15" width="1.42578125" style="18" customWidth="1"/>
    <col min="16" max="16" width="8.28515625" style="18" bestFit="1" customWidth="1"/>
    <col min="17" max="17" width="1.42578125" style="18" customWidth="1"/>
    <col min="18" max="18" width="7.85546875" style="18" bestFit="1" customWidth="1"/>
    <col min="19" max="19" width="1.42578125" style="18" customWidth="1"/>
    <col min="20" max="20" width="7.85546875" style="18" bestFit="1" customWidth="1"/>
    <col min="21" max="16384" width="11.42578125" style="18"/>
  </cols>
  <sheetData>
    <row r="1" spans="1:21" ht="26.25" x14ac:dyDescent="0.25">
      <c r="A1" s="14" t="s">
        <v>12</v>
      </c>
      <c r="B1" s="15">
        <f>Base!A6</f>
        <v>0</v>
      </c>
      <c r="C1" s="16"/>
      <c r="D1" s="72" t="s">
        <v>19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5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F2+14</f>
        <v>44978</v>
      </c>
      <c r="I2" s="24"/>
      <c r="J2" s="22">
        <f>H2+7</f>
        <v>44985</v>
      </c>
      <c r="K2" s="24"/>
      <c r="L2" s="22">
        <f>J2+7</f>
        <v>44992</v>
      </c>
      <c r="M2" s="24"/>
      <c r="N2" s="22">
        <f>L2+7</f>
        <v>44999</v>
      </c>
      <c r="O2" s="24"/>
      <c r="P2" s="22">
        <f>N2+7</f>
        <v>45006</v>
      </c>
      <c r="Q2" s="24"/>
      <c r="R2" s="22">
        <f>P2+7</f>
        <v>45013</v>
      </c>
      <c r="S2" s="24"/>
      <c r="T2" s="22">
        <f>R2+7</f>
        <v>45020</v>
      </c>
    </row>
    <row r="3" spans="1:21" ht="18.75" customHeight="1" thickBot="1" x14ac:dyDescent="0.3">
      <c r="A3" s="26" t="s">
        <v>6</v>
      </c>
      <c r="B3" s="27">
        <f>SUM(D3:T3)</f>
        <v>3</v>
      </c>
      <c r="D3" s="1">
        <f>SUMIF($C$8:$C$9980,$C8,D$8:D$9980)</f>
        <v>0.375</v>
      </c>
      <c r="E3" s="2"/>
      <c r="F3" s="1">
        <f>SUMIF($C$8:$C$9980,$C8,F$8:F$9980)</f>
        <v>0.375</v>
      </c>
      <c r="G3" s="3"/>
      <c r="H3" s="1">
        <f>SUMIF($C$8:$C$9980,$C8,H$8:H$9980)</f>
        <v>0.375</v>
      </c>
      <c r="I3" s="3"/>
      <c r="J3" s="1">
        <f>SUMIF($C$8:$C$9980,$C8,J$8:J$9980)</f>
        <v>0.37499999999999994</v>
      </c>
      <c r="K3" s="3"/>
      <c r="L3" s="1">
        <f>SUMIF($C$8:$C$9980,$C8,L$8:L$9980)</f>
        <v>0.375</v>
      </c>
      <c r="M3" s="3"/>
      <c r="N3" s="1">
        <f>SUMIF($C$8:$C$9980,$C8,N$8:N$9980)</f>
        <v>0.375</v>
      </c>
      <c r="O3" s="3"/>
      <c r="P3" s="4">
        <f>SUMIF($C$8:$C$9980,$C8,P$8:P$9980)</f>
        <v>0.375</v>
      </c>
      <c r="Q3" s="3"/>
      <c r="R3" s="1">
        <f>SUMIF($C$8:$C$9980,$C8,R$8:R$9980)</f>
        <v>0.375</v>
      </c>
      <c r="S3" s="3"/>
      <c r="T3" s="1">
        <f>SUMIF($C$8:$C$9980,$C8,T$8:T$9980)</f>
        <v>0</v>
      </c>
      <c r="U3" s="18">
        <f>SUM(U6+U16+U30+U52+U72)</f>
        <v>3</v>
      </c>
    </row>
    <row r="4" spans="1:21" ht="18" customHeight="1" thickBot="1" x14ac:dyDescent="0.3">
      <c r="A4" s="28" t="str">
        <f>Base!C5</f>
        <v>Mayor</v>
      </c>
      <c r="B4" s="29">
        <f>SUM(D4:T4)</f>
        <v>0</v>
      </c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0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8</v>
      </c>
      <c r="I5" s="6"/>
      <c r="J5" s="13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9" t="str">
        <f>Base!F4</f>
        <v>1 Prise en main</v>
      </c>
      <c r="B6" s="31"/>
      <c r="C6" s="31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3">
        <f>SUMIF($C8:$C15,$C8,U8:U15)</f>
        <v>0.29166666666666669</v>
      </c>
    </row>
    <row r="7" spans="1:21" ht="15" customHeight="1" thickBot="1" x14ac:dyDescent="0.3">
      <c r="A7" s="34"/>
      <c r="B7" s="35"/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7">
        <f>SUMIF($C8:$C15,$C9,U8:U15)</f>
        <v>0</v>
      </c>
    </row>
    <row r="8" spans="1:21" ht="15" customHeight="1" x14ac:dyDescent="0.25">
      <c r="B8" s="7" t="str">
        <f>Base!G4</f>
        <v>Planification initiale</v>
      </c>
      <c r="C8" s="38" t="str">
        <f>A$3</f>
        <v>Prévu</v>
      </c>
      <c r="D8" s="69">
        <v>0.20833333333333334</v>
      </c>
      <c r="E8" s="39"/>
      <c r="F8" s="69"/>
      <c r="G8" s="39"/>
      <c r="H8" s="69"/>
      <c r="I8" s="40"/>
      <c r="J8" s="70"/>
      <c r="K8" s="40"/>
      <c r="L8" s="71"/>
      <c r="M8" s="39"/>
      <c r="N8" s="70"/>
      <c r="O8" s="39"/>
      <c r="P8" s="71"/>
      <c r="Q8" s="39"/>
      <c r="R8" s="71"/>
      <c r="S8" s="39"/>
      <c r="T8" s="71"/>
      <c r="U8" s="41">
        <f t="shared" ref="U8:U15" si="0">IF(SUM(D8:T8)=0,"",SUM(D8:T8))</f>
        <v>0.20833333333333334</v>
      </c>
    </row>
    <row r="9" spans="1:21" ht="15" customHeight="1" thickBot="1" x14ac:dyDescent="0.3">
      <c r="B9" s="42"/>
      <c r="C9" s="43" t="str">
        <f>A$4</f>
        <v>Mayor</v>
      </c>
      <c r="D9" s="44">
        <f>SUMIFS('Journal de travail'!$D$4:$D$10001,'Journal de travail'!$B$4:$B$10001,D$5,'Journal de travail'!$C$4:$C$10001,$B8)</f>
        <v>0</v>
      </c>
      <c r="E9" s="45"/>
      <c r="F9" s="44">
        <f>SUMIFS('Journal de travail'!$D$4:$D$10001,'Journal de travail'!$B$4:$B$10001,F$5,'Journal de travail'!$C$4:$C$10001,$B8)</f>
        <v>0</v>
      </c>
      <c r="G9" s="45"/>
      <c r="H9" s="44">
        <f>SUMIFS('Journal de travail'!$D$4:$D$10001,'Journal de travail'!$B$4:$B$10001,H$5,'Journal de travail'!$C$4:$C$10001,$B8)</f>
        <v>0</v>
      </c>
      <c r="I9" s="46"/>
      <c r="J9" s="44">
        <f>SUMIFS('Journal de travail'!$D$4:$D$10001,'Journal de travail'!$B$4:$B$10001,J$5,'Journal de travail'!$C$4:$C$10001,$B8)</f>
        <v>0</v>
      </c>
      <c r="K9" s="46"/>
      <c r="L9" s="44">
        <f>SUMIFS('Journal de travail'!$D$4:$D$10001,'Journal de travail'!$B$4:$B$10001,L$5,'Journal de travail'!$C$4:$C$10001,$B8)</f>
        <v>0</v>
      </c>
      <c r="M9" s="45"/>
      <c r="N9" s="44">
        <f>SUMIFS('Journal de travail'!$D$4:$D$10001,'Journal de travail'!$B$4:$B$10001,N$5,'Journal de travail'!$C$4:$C$10001,$B8)</f>
        <v>0</v>
      </c>
      <c r="O9" s="45"/>
      <c r="P9" s="44">
        <f>SUMIFS('Journal de travail'!$D$4:$D$10001,'Journal de travail'!$B$4:$B$10001,P$5,'Journal de travail'!$C$4:$C$10001,$B8)</f>
        <v>0</v>
      </c>
      <c r="Q9" s="45"/>
      <c r="R9" s="44">
        <f>SUMIFS('Journal de travail'!$D$4:$D$10001,'Journal de travail'!$B$4:$B$10001,R$5,'Journal de travail'!$C$4:$C$10001,$B8)</f>
        <v>0</v>
      </c>
      <c r="S9" s="45"/>
      <c r="T9" s="44">
        <f>SUMIFS('Journal de travail'!$D$4:$D$10001,'Journal de travail'!$B$4:$B$10001,T$5,'Journal de travail'!$C$4:$C$10001,$B8)</f>
        <v>0</v>
      </c>
      <c r="U9" s="47" t="str">
        <f t="shared" si="0"/>
        <v/>
      </c>
    </row>
    <row r="10" spans="1:21" ht="15" customHeight="1" x14ac:dyDescent="0.25">
      <c r="B10" s="7" t="str">
        <f>Base!G5</f>
        <v>Installation physique du pare-feu</v>
      </c>
      <c r="C10" s="38" t="str">
        <f>A$3</f>
        <v>Prévu</v>
      </c>
      <c r="D10" s="69"/>
      <c r="E10" s="39"/>
      <c r="F10" s="69">
        <v>2.7777777777777776E-2</v>
      </c>
      <c r="G10" s="39"/>
      <c r="H10" s="69"/>
      <c r="I10" s="40"/>
      <c r="J10" s="70"/>
      <c r="K10" s="40"/>
      <c r="L10" s="71"/>
      <c r="M10" s="39"/>
      <c r="N10" s="70"/>
      <c r="O10" s="39"/>
      <c r="P10" s="71"/>
      <c r="Q10" s="39"/>
      <c r="R10" s="71"/>
      <c r="S10" s="39"/>
      <c r="T10" s="71"/>
      <c r="U10" s="41">
        <f t="shared" si="0"/>
        <v>2.7777777777777776E-2</v>
      </c>
    </row>
    <row r="11" spans="1:21" ht="15" customHeight="1" thickBot="1" x14ac:dyDescent="0.3">
      <c r="B11" s="42"/>
      <c r="C11" s="43" t="str">
        <f>A$4</f>
        <v>Mayor</v>
      </c>
      <c r="D11" s="44">
        <f>SUMIFS('Journal de travail'!$D$4:$D$10001,'Journal de travail'!$B$4:$B$10001,D$5,'Journal de travail'!$C$4:$C$10001,$B10)</f>
        <v>0</v>
      </c>
      <c r="E11" s="45"/>
      <c r="F11" s="44">
        <f>SUMIFS('Journal de travail'!$D$4:$D$10001,'Journal de travail'!$B$4:$B$10001,F$5,'Journal de travail'!$C$4:$C$10001,$B10)</f>
        <v>0</v>
      </c>
      <c r="G11" s="45"/>
      <c r="H11" s="44">
        <f>SUMIFS('Journal de travail'!$D$4:$D$10001,'Journal de travail'!$B$4:$B$10001,H$5,'Journal de travail'!$C$4:$C$10001,$B10)</f>
        <v>0</v>
      </c>
      <c r="I11" s="46"/>
      <c r="J11" s="44">
        <f>SUMIFS('Journal de travail'!$D$4:$D$10001,'Journal de travail'!$B$4:$B$10001,J$5,'Journal de travail'!$C$4:$C$10001,$B10)</f>
        <v>0</v>
      </c>
      <c r="K11" s="46"/>
      <c r="L11" s="44">
        <f>SUMIFS('Journal de travail'!$D$4:$D$10001,'Journal de travail'!$B$4:$B$10001,L$5,'Journal de travail'!$C$4:$C$10001,$B10)</f>
        <v>0</v>
      </c>
      <c r="M11" s="45"/>
      <c r="N11" s="44">
        <f>SUMIFS('Journal de travail'!$D$4:$D$10001,'Journal de travail'!$B$4:$B$10001,N$5,'Journal de travail'!$C$4:$C$10001,$B10)</f>
        <v>0</v>
      </c>
      <c r="O11" s="45"/>
      <c r="P11" s="44">
        <f>SUMIFS('Journal de travail'!$D$4:$D$10001,'Journal de travail'!$B$4:$B$10001,P$5,'Journal de travail'!$C$4:$C$10001,$B10)</f>
        <v>0</v>
      </c>
      <c r="Q11" s="45"/>
      <c r="R11" s="44">
        <f>SUMIFS('Journal de travail'!$D$4:$D$10001,'Journal de travail'!$B$4:$B$10001,R$5,'Journal de travail'!$C$4:$C$10001,$B10)</f>
        <v>0</v>
      </c>
      <c r="S11" s="45"/>
      <c r="T11" s="44">
        <f>SUMIFS('Journal de travail'!$D$4:$D$10001,'Journal de travail'!$B$4:$B$10001,T$5,'Journal de travail'!$C$4:$C$10001,$B10)</f>
        <v>0</v>
      </c>
      <c r="U11" s="47" t="str">
        <f t="shared" si="0"/>
        <v/>
      </c>
    </row>
    <row r="12" spans="1:21" ht="15" customHeight="1" x14ac:dyDescent="0.25">
      <c r="B12" s="7" t="str">
        <f>Base!G6</f>
        <v>Mise à zero du Fortinet</v>
      </c>
      <c r="C12" s="38" t="str">
        <f>A$3</f>
        <v>Prévu</v>
      </c>
      <c r="D12" s="69"/>
      <c r="E12" s="39"/>
      <c r="F12" s="69">
        <v>2.7777777777777776E-2</v>
      </c>
      <c r="G12" s="39"/>
      <c r="H12" s="69"/>
      <c r="I12" s="40"/>
      <c r="J12" s="70"/>
      <c r="K12" s="40"/>
      <c r="L12" s="71"/>
      <c r="M12" s="39"/>
      <c r="N12" s="70"/>
      <c r="O12" s="39"/>
      <c r="P12" s="71"/>
      <c r="Q12" s="39"/>
      <c r="R12" s="71"/>
      <c r="S12" s="39"/>
      <c r="T12" s="71"/>
      <c r="U12" s="41">
        <f t="shared" si="0"/>
        <v>2.7777777777777776E-2</v>
      </c>
    </row>
    <row r="13" spans="1:21" ht="15" customHeight="1" thickBot="1" x14ac:dyDescent="0.3">
      <c r="B13" s="42"/>
      <c r="C13" s="43" t="str">
        <f>A$4</f>
        <v>Mayor</v>
      </c>
      <c r="D13" s="44">
        <f>SUMIFS('Journal de travail'!$D$4:$D$10001,'Journal de travail'!$B$4:$B$10001,D$5,'Journal de travail'!$C$4:$C$10001,$B12)</f>
        <v>0</v>
      </c>
      <c r="E13" s="45"/>
      <c r="F13" s="44">
        <f>SUMIFS('Journal de travail'!$D$4:$D$10001,'Journal de travail'!$B$4:$B$10001,F$5,'Journal de travail'!$C$4:$C$10001,$B12)</f>
        <v>0</v>
      </c>
      <c r="G13" s="45"/>
      <c r="H13" s="44">
        <f>SUMIFS('Journal de travail'!$D$4:$D$10001,'Journal de travail'!$B$4:$B$10001,H$5,'Journal de travail'!$C$4:$C$10001,$B12)</f>
        <v>0</v>
      </c>
      <c r="I13" s="46"/>
      <c r="J13" s="44">
        <f>SUMIFS('Journal de travail'!$D$4:$D$10001,'Journal de travail'!$B$4:$B$10001,J$5,'Journal de travail'!$C$4:$C$10001,$B12)</f>
        <v>0</v>
      </c>
      <c r="K13" s="46"/>
      <c r="L13" s="44">
        <f>SUMIFS('Journal de travail'!$D$4:$D$10001,'Journal de travail'!$B$4:$B$10001,L$5,'Journal de travail'!$C$4:$C$10001,$B12)</f>
        <v>0</v>
      </c>
      <c r="M13" s="45"/>
      <c r="N13" s="44">
        <f>SUMIFS('Journal de travail'!$D$4:$D$10001,'Journal de travail'!$B$4:$B$10001,N$5,'Journal de travail'!$C$4:$C$10001,$B12)</f>
        <v>0</v>
      </c>
      <c r="O13" s="45"/>
      <c r="P13" s="44">
        <f>SUMIFS('Journal de travail'!$D$4:$D$10001,'Journal de travail'!$B$4:$B$10001,P$5,'Journal de travail'!$C$4:$C$10001,$B12)</f>
        <v>0</v>
      </c>
      <c r="Q13" s="45"/>
      <c r="R13" s="44">
        <f>SUMIFS('Journal de travail'!$D$4:$D$10001,'Journal de travail'!$B$4:$B$10001,R$5,'Journal de travail'!$C$4:$C$10001,$B12)</f>
        <v>0</v>
      </c>
      <c r="S13" s="45"/>
      <c r="T13" s="44">
        <f>SUMIFS('Journal de travail'!$D$4:$D$10001,'Journal de travail'!$B$4:$B$10001,T$5,'Journal de travail'!$C$4:$C$10001,$B12)</f>
        <v>0</v>
      </c>
      <c r="U13" s="47" t="str">
        <f t="shared" si="0"/>
        <v/>
      </c>
    </row>
    <row r="14" spans="1:21" ht="15" customHeight="1" x14ac:dyDescent="0.25">
      <c r="B14" s="7" t="str">
        <f>Base!G7</f>
        <v>Réunion avec Sip</v>
      </c>
      <c r="C14" s="38" t="str">
        <f>A$3</f>
        <v>Prévu</v>
      </c>
      <c r="D14" s="69"/>
      <c r="E14" s="39"/>
      <c r="F14" s="69">
        <v>2.7777777777777776E-2</v>
      </c>
      <c r="G14" s="39"/>
      <c r="H14" s="69"/>
      <c r="I14" s="40"/>
      <c r="J14" s="70"/>
      <c r="K14" s="40"/>
      <c r="L14" s="71"/>
      <c r="M14" s="39"/>
      <c r="N14" s="70"/>
      <c r="O14" s="39"/>
      <c r="P14" s="71"/>
      <c r="Q14" s="39"/>
      <c r="R14" s="71"/>
      <c r="S14" s="39"/>
      <c r="T14" s="71"/>
      <c r="U14" s="41">
        <f t="shared" si="0"/>
        <v>2.7777777777777776E-2</v>
      </c>
    </row>
    <row r="15" spans="1:21" ht="15" customHeight="1" thickBot="1" x14ac:dyDescent="0.3">
      <c r="B15" s="42"/>
      <c r="C15" s="43" t="str">
        <f>A$4</f>
        <v>Mayor</v>
      </c>
      <c r="D15" s="44">
        <f>SUMIFS('Journal de travail'!$D$4:$D$10001,'Journal de travail'!$B$4:$B$10001,D$5,'Journal de travail'!$C$4:$C$10001,$B14)</f>
        <v>0</v>
      </c>
      <c r="E15" s="45"/>
      <c r="F15" s="44">
        <f>SUMIFS('Journal de travail'!$D$4:$D$10001,'Journal de travail'!$B$4:$B$10001,F$5,'Journal de travail'!$C$4:$C$10001,$B14)</f>
        <v>0</v>
      </c>
      <c r="G15" s="45"/>
      <c r="H15" s="44">
        <f>SUMIFS('Journal de travail'!$D$4:$D$10001,'Journal de travail'!$B$4:$B$10001,H$5,'Journal de travail'!$C$4:$C$10001,$B14)</f>
        <v>0</v>
      </c>
      <c r="I15" s="46"/>
      <c r="J15" s="44">
        <f>SUMIFS('Journal de travail'!$D$4:$D$10001,'Journal de travail'!$B$4:$B$10001,J$5,'Journal de travail'!$C$4:$C$10001,$B14)</f>
        <v>0</v>
      </c>
      <c r="K15" s="46"/>
      <c r="L15" s="44">
        <f>SUMIFS('Journal de travail'!$D$4:$D$10001,'Journal de travail'!$B$4:$B$10001,L$5,'Journal de travail'!$C$4:$C$10001,$B14)</f>
        <v>0</v>
      </c>
      <c r="M15" s="45"/>
      <c r="N15" s="44">
        <f>SUMIFS('Journal de travail'!$D$4:$D$10001,'Journal de travail'!$B$4:$B$10001,N$5,'Journal de travail'!$C$4:$C$10001,$B14)</f>
        <v>0</v>
      </c>
      <c r="O15" s="45"/>
      <c r="P15" s="44">
        <f>SUMIFS('Journal de travail'!$D$4:$D$10001,'Journal de travail'!$B$4:$B$10001,P$5,'Journal de travail'!$C$4:$C$10001,$B14)</f>
        <v>0</v>
      </c>
      <c r="Q15" s="45"/>
      <c r="R15" s="44">
        <f>SUMIFS('Journal de travail'!$D$4:$D$10001,'Journal de travail'!$B$4:$B$10001,R$5,'Journal de travail'!$C$4:$C$10001,$B14)</f>
        <v>0</v>
      </c>
      <c r="S15" s="45"/>
      <c r="T15" s="44">
        <f>SUMIFS('Journal de travail'!$D$4:$D$10001,'Journal de travail'!$B$4:$B$10001,T$5,'Journal de travail'!$C$4:$C$10001,$B14)</f>
        <v>0</v>
      </c>
      <c r="U15" s="47" t="str">
        <f t="shared" si="0"/>
        <v/>
      </c>
    </row>
    <row r="16" spans="1:21" ht="20.25" x14ac:dyDescent="0.25">
      <c r="A16" s="8" t="str">
        <f>Base!F8</f>
        <v>2 Recherche et analyse</v>
      </c>
      <c r="B16" s="48"/>
      <c r="C16" s="48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33">
        <f>SUMIF($C18:$C29,$C18,U18:U29)</f>
        <v>0.54166666666666663</v>
      </c>
    </row>
    <row r="17" spans="1:21" ht="15" customHeight="1" thickBot="1" x14ac:dyDescent="0.3">
      <c r="A17" s="50"/>
      <c r="B17" s="51"/>
      <c r="C17" s="51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37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38" t="str">
        <f>A$3</f>
        <v>Prévu</v>
      </c>
      <c r="D18" s="69"/>
      <c r="E18" s="39"/>
      <c r="F18" s="69">
        <v>0.10416666666666667</v>
      </c>
      <c r="G18" s="39"/>
      <c r="H18" s="69"/>
      <c r="I18" s="40"/>
      <c r="J18" s="70"/>
      <c r="K18" s="40"/>
      <c r="L18" s="71"/>
      <c r="M18" s="39"/>
      <c r="N18" s="70"/>
      <c r="O18" s="39"/>
      <c r="P18" s="71"/>
      <c r="Q18" s="39"/>
      <c r="R18" s="71"/>
      <c r="S18" s="39"/>
      <c r="T18" s="71"/>
      <c r="U18" s="41">
        <f>IF(SUM(E18:T18)=0,"",SUM(E18:T18))</f>
        <v>0.10416666666666667</v>
      </c>
    </row>
    <row r="19" spans="1:21" ht="15" customHeight="1" thickBot="1" x14ac:dyDescent="0.3">
      <c r="B19" s="42"/>
      <c r="C19" s="43" t="str">
        <f>A$4</f>
        <v>Mayor</v>
      </c>
      <c r="D19" s="44">
        <f>SUMIFS('Journal de travail'!$D$4:$D$10001,'Journal de travail'!$B$4:$B$10001,D$5,'Journal de travail'!$C$4:$C$10001,$B18)</f>
        <v>0</v>
      </c>
      <c r="E19" s="45"/>
      <c r="F19" s="44">
        <f>SUMIFS('Journal de travail'!$D$4:$D$10001,'Journal de travail'!$B$4:$B$10001,F$5,'Journal de travail'!$C$4:$C$10001,$B18)</f>
        <v>0</v>
      </c>
      <c r="G19" s="45"/>
      <c r="H19" s="44">
        <f>SUMIFS('Journal de travail'!$D$4:$D$10001,'Journal de travail'!$B$4:$B$10001,H$5,'Journal de travail'!$C$4:$C$10001,$B18)</f>
        <v>0</v>
      </c>
      <c r="I19" s="46"/>
      <c r="J19" s="44">
        <f>SUMIFS('Journal de travail'!$D$4:$D$10001,'Journal de travail'!$B$4:$B$10001,J$5,'Journal de travail'!$C$4:$C$10001,$B18)</f>
        <v>0</v>
      </c>
      <c r="K19" s="46"/>
      <c r="L19" s="44">
        <f>SUMIFS('Journal de travail'!$D$4:$D$10001,'Journal de travail'!$B$4:$B$10001,L$5,'Journal de travail'!$C$4:$C$10001,$B18)</f>
        <v>0</v>
      </c>
      <c r="M19" s="45"/>
      <c r="N19" s="44">
        <f>SUMIFS('Journal de travail'!$D$4:$D$10001,'Journal de travail'!$B$4:$B$10001,N$5,'Journal de travail'!$C$4:$C$10001,$B18)</f>
        <v>0</v>
      </c>
      <c r="O19" s="45"/>
      <c r="P19" s="44">
        <f>SUMIFS('Journal de travail'!$D$4:$D$10001,'Journal de travail'!$B$4:$B$10001,P$5,'Journal de travail'!$C$4:$C$10001,$B18)</f>
        <v>0</v>
      </c>
      <c r="Q19" s="45"/>
      <c r="R19" s="44">
        <f>SUMIFS('Journal de travail'!$D$4:$D$10001,'Journal de travail'!$B$4:$B$10001,R$5,'Journal de travail'!$C$4:$C$10001,$B18)</f>
        <v>0</v>
      </c>
      <c r="S19" s="45"/>
      <c r="T19" s="44">
        <f>SUMIFS('Journal de travail'!$D$4:$D$10001,'Journal de travail'!$B$4:$B$10001,T$5,'Journal de travail'!$C$4:$C$10001,$B18)</f>
        <v>0</v>
      </c>
      <c r="U19" s="47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38" t="str">
        <f>A$3</f>
        <v>Prévu</v>
      </c>
      <c r="D20" s="69"/>
      <c r="E20" s="39"/>
      <c r="F20" s="69">
        <v>0.10416666666666667</v>
      </c>
      <c r="G20" s="39"/>
      <c r="H20" s="69"/>
      <c r="I20" s="40"/>
      <c r="J20" s="70"/>
      <c r="K20" s="40"/>
      <c r="L20" s="71"/>
      <c r="M20" s="39"/>
      <c r="N20" s="70"/>
      <c r="O20" s="39"/>
      <c r="P20" s="71"/>
      <c r="Q20" s="39"/>
      <c r="R20" s="71"/>
      <c r="S20" s="39"/>
      <c r="T20" s="71"/>
      <c r="U20" s="41">
        <f>IF(SUM(E20:T20)=0,"",SUM(E20:T20))</f>
        <v>0.10416666666666667</v>
      </c>
    </row>
    <row r="21" spans="1:21" ht="15" customHeight="1" thickBot="1" x14ac:dyDescent="0.3">
      <c r="B21" s="42"/>
      <c r="C21" s="43" t="str">
        <f>A$4</f>
        <v>Mayor</v>
      </c>
      <c r="D21" s="44">
        <f>SUMIFS('Journal de travail'!$D$4:$D$10001,'Journal de travail'!$B$4:$B$10001,D$5,'Journal de travail'!$C$4:$C$10001,$B20)</f>
        <v>0</v>
      </c>
      <c r="E21" s="45"/>
      <c r="F21" s="44">
        <f>SUMIFS('Journal de travail'!$D$4:$D$10001,'Journal de travail'!$B$4:$B$10001,F$5,'Journal de travail'!$C$4:$C$10001,$B20)</f>
        <v>0</v>
      </c>
      <c r="G21" s="45"/>
      <c r="H21" s="44">
        <f>SUMIFS('Journal de travail'!$D$4:$D$10001,'Journal de travail'!$B$4:$B$10001,H$5,'Journal de travail'!$C$4:$C$10001,$B20)</f>
        <v>0</v>
      </c>
      <c r="I21" s="46"/>
      <c r="J21" s="44">
        <f>SUMIFS('Journal de travail'!$D$4:$D$10001,'Journal de travail'!$B$4:$B$10001,J$5,'Journal de travail'!$C$4:$C$10001,$B20)</f>
        <v>0</v>
      </c>
      <c r="K21" s="46"/>
      <c r="L21" s="44">
        <f>SUMIFS('Journal de travail'!$D$4:$D$10001,'Journal de travail'!$B$4:$B$10001,L$5,'Journal de travail'!$C$4:$C$10001,$B20)</f>
        <v>0</v>
      </c>
      <c r="M21" s="45"/>
      <c r="N21" s="44">
        <f>SUMIFS('Journal de travail'!$D$4:$D$10001,'Journal de travail'!$B$4:$B$10001,N$5,'Journal de travail'!$C$4:$C$10001,$B20)</f>
        <v>0</v>
      </c>
      <c r="O21" s="45"/>
      <c r="P21" s="44">
        <f>SUMIFS('Journal de travail'!$D$4:$D$10001,'Journal de travail'!$B$4:$B$10001,P$5,'Journal de travail'!$C$4:$C$10001,$B20)</f>
        <v>0</v>
      </c>
      <c r="Q21" s="45"/>
      <c r="R21" s="44">
        <f>SUMIFS('Journal de travail'!$D$4:$D$10001,'Journal de travail'!$B$4:$B$10001,R$5,'Journal de travail'!$C$4:$C$10001,$B20)</f>
        <v>0</v>
      </c>
      <c r="S21" s="45"/>
      <c r="T21" s="44">
        <f>SUMIFS('Journal de travail'!$D$4:$D$10001,'Journal de travail'!$B$4:$B$10001,T$5,'Journal de travail'!$C$4:$C$10001,$B20)</f>
        <v>0</v>
      </c>
      <c r="U21" s="47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38" t="str">
        <f>A$3</f>
        <v>Prévu</v>
      </c>
      <c r="D22" s="69"/>
      <c r="E22" s="39"/>
      <c r="F22" s="69"/>
      <c r="G22" s="39"/>
      <c r="H22" s="69">
        <v>8.3333333333333329E-2</v>
      </c>
      <c r="I22" s="40"/>
      <c r="J22" s="70"/>
      <c r="K22" s="40"/>
      <c r="L22" s="71"/>
      <c r="M22" s="39"/>
      <c r="N22" s="70"/>
      <c r="O22" s="39"/>
      <c r="P22" s="71"/>
      <c r="Q22" s="39"/>
      <c r="R22" s="71"/>
      <c r="S22" s="39"/>
      <c r="T22" s="71"/>
      <c r="U22" s="41">
        <f t="shared" si="1"/>
        <v>8.3333333333333329E-2</v>
      </c>
    </row>
    <row r="23" spans="1:21" ht="15" customHeight="1" thickBot="1" x14ac:dyDescent="0.3">
      <c r="B23" s="42"/>
      <c r="C23" s="43" t="str">
        <f>A$4</f>
        <v>Mayor</v>
      </c>
      <c r="D23" s="44">
        <f>SUMIFS('Journal de travail'!$D$4:$D$10001,'Journal de travail'!$B$4:$B$10001,D$5,'Journal de travail'!$C$4:$C$10001,$B22)</f>
        <v>0</v>
      </c>
      <c r="E23" s="45"/>
      <c r="F23" s="44">
        <f>SUMIFS('Journal de travail'!$D$4:$D$10001,'Journal de travail'!$B$4:$B$10001,F$5,'Journal de travail'!$C$4:$C$10001,$B22)</f>
        <v>0</v>
      </c>
      <c r="G23" s="45"/>
      <c r="H23" s="44">
        <f>SUMIFS('Journal de travail'!$D$4:$D$10001,'Journal de travail'!$B$4:$B$10001,H$5,'Journal de travail'!$C$4:$C$10001,$B22)</f>
        <v>0</v>
      </c>
      <c r="I23" s="46"/>
      <c r="J23" s="44">
        <f>SUMIFS('Journal de travail'!$D$4:$D$10001,'Journal de travail'!$B$4:$B$10001,J$5,'Journal de travail'!$C$4:$C$10001,$B22)</f>
        <v>0</v>
      </c>
      <c r="K23" s="46"/>
      <c r="L23" s="44">
        <f>SUMIFS('Journal de travail'!$D$4:$D$10001,'Journal de travail'!$B$4:$B$10001,L$5,'Journal de travail'!$C$4:$C$10001,$B22)</f>
        <v>0</v>
      </c>
      <c r="M23" s="45"/>
      <c r="N23" s="44">
        <f>SUMIFS('Journal de travail'!$D$4:$D$10001,'Journal de travail'!$B$4:$B$10001,N$5,'Journal de travail'!$C$4:$C$10001,$B22)</f>
        <v>0</v>
      </c>
      <c r="O23" s="45"/>
      <c r="P23" s="44">
        <f>SUMIFS('Journal de travail'!$D$4:$D$10001,'Journal de travail'!$B$4:$B$10001,P$5,'Journal de travail'!$C$4:$C$10001,$B22)</f>
        <v>0</v>
      </c>
      <c r="Q23" s="45"/>
      <c r="R23" s="44">
        <f>SUMIFS('Journal de travail'!$D$4:$D$10001,'Journal de travail'!$B$4:$B$10001,R$5,'Journal de travail'!$C$4:$C$10001,$B22)</f>
        <v>0</v>
      </c>
      <c r="S23" s="45"/>
      <c r="T23" s="44">
        <f>SUMIFS('Journal de travail'!$D$4:$D$10001,'Journal de travail'!$B$4:$B$10001,T$5,'Journal de travail'!$C$4:$C$10001,$B22)</f>
        <v>0</v>
      </c>
      <c r="U23" s="47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38" t="str">
        <f>A$3</f>
        <v>Prévu</v>
      </c>
      <c r="D24" s="69"/>
      <c r="E24" s="39"/>
      <c r="F24" s="69"/>
      <c r="G24" s="39"/>
      <c r="H24" s="69">
        <v>8.3333333333333329E-2</v>
      </c>
      <c r="I24" s="40"/>
      <c r="J24" s="70"/>
      <c r="K24" s="40"/>
      <c r="L24" s="71"/>
      <c r="M24" s="39"/>
      <c r="N24" s="70"/>
      <c r="O24" s="39"/>
      <c r="P24" s="71"/>
      <c r="Q24" s="39"/>
      <c r="R24" s="71"/>
      <c r="S24" s="39"/>
      <c r="T24" s="71"/>
      <c r="U24" s="41">
        <f t="shared" si="1"/>
        <v>8.3333333333333329E-2</v>
      </c>
    </row>
    <row r="25" spans="1:21" ht="15" customHeight="1" thickBot="1" x14ac:dyDescent="0.3">
      <c r="B25" s="42"/>
      <c r="C25" s="43" t="str">
        <f>A$4</f>
        <v>Mayor</v>
      </c>
      <c r="D25" s="44">
        <f>SUMIFS('Journal de travail'!$D$4:$D$10001,'Journal de travail'!$B$4:$B$10001,D$5,'Journal de travail'!$C$4:$C$10001,$B24)</f>
        <v>0</v>
      </c>
      <c r="E25" s="45"/>
      <c r="F25" s="44">
        <f>SUMIFS('Journal de travail'!$D$4:$D$10001,'Journal de travail'!$B$4:$B$10001,F$5,'Journal de travail'!$C$4:$C$10001,$B24)</f>
        <v>0</v>
      </c>
      <c r="G25" s="45"/>
      <c r="H25" s="44">
        <f>SUMIFS('Journal de travail'!$D$4:$D$10001,'Journal de travail'!$B$4:$B$10001,H$5,'Journal de travail'!$C$4:$C$10001,$B24)</f>
        <v>0</v>
      </c>
      <c r="I25" s="46"/>
      <c r="J25" s="44">
        <f>SUMIFS('Journal de travail'!$D$4:$D$10001,'Journal de travail'!$B$4:$B$10001,J$5,'Journal de travail'!$C$4:$C$10001,$B24)</f>
        <v>0</v>
      </c>
      <c r="K25" s="46"/>
      <c r="L25" s="44">
        <f>SUMIFS('Journal de travail'!$D$4:$D$10001,'Journal de travail'!$B$4:$B$10001,L$5,'Journal de travail'!$C$4:$C$10001,$B24)</f>
        <v>0</v>
      </c>
      <c r="M25" s="45"/>
      <c r="N25" s="44">
        <f>SUMIFS('Journal de travail'!$D$4:$D$10001,'Journal de travail'!$B$4:$B$10001,N$5,'Journal de travail'!$C$4:$C$10001,$B24)</f>
        <v>0</v>
      </c>
      <c r="O25" s="45"/>
      <c r="P25" s="44">
        <f>SUMIFS('Journal de travail'!$D$4:$D$10001,'Journal de travail'!$B$4:$B$10001,P$5,'Journal de travail'!$C$4:$C$10001,$B24)</f>
        <v>0</v>
      </c>
      <c r="Q25" s="45"/>
      <c r="R25" s="44">
        <f>SUMIFS('Journal de travail'!$D$4:$D$10001,'Journal de travail'!$B$4:$B$10001,R$5,'Journal de travail'!$C$4:$C$10001,$B24)</f>
        <v>0</v>
      </c>
      <c r="S25" s="45"/>
      <c r="T25" s="44">
        <f>SUMIFS('Journal de travail'!$D$4:$D$10001,'Journal de travail'!$B$4:$B$10001,T$5,'Journal de travail'!$C$4:$C$10001,$B24)</f>
        <v>0</v>
      </c>
      <c r="U25" s="47" t="str">
        <f t="shared" si="1"/>
        <v/>
      </c>
    </row>
    <row r="26" spans="1:21" ht="15" customHeight="1" x14ac:dyDescent="0.25">
      <c r="B26" s="7" t="str">
        <f>Base!G12</f>
        <v>Table de routage</v>
      </c>
      <c r="C26" s="38" t="str">
        <f>A$3</f>
        <v>Prévu</v>
      </c>
      <c r="D26" s="69"/>
      <c r="E26" s="39"/>
      <c r="F26" s="69"/>
      <c r="G26" s="39"/>
      <c r="H26" s="69">
        <v>8.3333333333333329E-2</v>
      </c>
      <c r="I26" s="40"/>
      <c r="J26" s="70"/>
      <c r="K26" s="40"/>
      <c r="L26" s="71"/>
      <c r="M26" s="39"/>
      <c r="N26" s="70"/>
      <c r="O26" s="39"/>
      <c r="P26" s="71"/>
      <c r="Q26" s="39"/>
      <c r="R26" s="71"/>
      <c r="S26" s="39"/>
      <c r="T26" s="71"/>
      <c r="U26" s="41">
        <f t="shared" si="1"/>
        <v>8.3333333333333329E-2</v>
      </c>
    </row>
    <row r="27" spans="1:21" ht="15" customHeight="1" thickBot="1" x14ac:dyDescent="0.3">
      <c r="B27" s="42"/>
      <c r="C27" s="43" t="str">
        <f>A$4</f>
        <v>Mayor</v>
      </c>
      <c r="D27" s="44">
        <f>SUMIFS('Journal de travail'!$D$4:$D$10001,'Journal de travail'!$B$4:$B$10001,D$5,'Journal de travail'!$C$4:$C$10001,$B26)</f>
        <v>0</v>
      </c>
      <c r="E27" s="45"/>
      <c r="F27" s="44">
        <f>SUMIFS('Journal de travail'!$D$4:$D$10001,'Journal de travail'!$B$4:$B$10001,F$5,'Journal de travail'!$C$4:$C$10001,$B26)</f>
        <v>0</v>
      </c>
      <c r="G27" s="45"/>
      <c r="H27" s="44">
        <f>SUMIFS('Journal de travail'!$D$4:$D$10001,'Journal de travail'!$B$4:$B$10001,H$5,'Journal de travail'!$C$4:$C$10001,$B26)</f>
        <v>0</v>
      </c>
      <c r="I27" s="46"/>
      <c r="J27" s="44">
        <f>SUMIFS('Journal de travail'!$D$4:$D$10001,'Journal de travail'!$B$4:$B$10001,J$5,'Journal de travail'!$C$4:$C$10001,$B26)</f>
        <v>0</v>
      </c>
      <c r="K27" s="46"/>
      <c r="L27" s="44">
        <f>SUMIFS('Journal de travail'!$D$4:$D$10001,'Journal de travail'!$B$4:$B$10001,L$5,'Journal de travail'!$C$4:$C$10001,$B26)</f>
        <v>0</v>
      </c>
      <c r="M27" s="45"/>
      <c r="N27" s="44">
        <f>SUMIFS('Journal de travail'!$D$4:$D$10001,'Journal de travail'!$B$4:$B$10001,N$5,'Journal de travail'!$C$4:$C$10001,$B26)</f>
        <v>0</v>
      </c>
      <c r="O27" s="45"/>
      <c r="P27" s="44">
        <f>SUMIFS('Journal de travail'!$D$4:$D$10001,'Journal de travail'!$B$4:$B$10001,P$5,'Journal de travail'!$C$4:$C$10001,$B26)</f>
        <v>0</v>
      </c>
      <c r="Q27" s="45"/>
      <c r="R27" s="44">
        <f>SUMIFS('Journal de travail'!$D$4:$D$10001,'Journal de travail'!$B$4:$B$10001,R$5,'Journal de travail'!$C$4:$C$10001,$B26)</f>
        <v>0</v>
      </c>
      <c r="S27" s="45"/>
      <c r="T27" s="44">
        <f>SUMIFS('Journal de travail'!$D$4:$D$10001,'Journal de travail'!$B$4:$B$10001,T$5,'Journal de travail'!$C$4:$C$10001,$B26)</f>
        <v>0</v>
      </c>
      <c r="U27" s="47" t="str">
        <f t="shared" si="1"/>
        <v/>
      </c>
    </row>
    <row r="28" spans="1:21" ht="15" customHeight="1" x14ac:dyDescent="0.25">
      <c r="B28" s="7" t="str">
        <f>Base!G13</f>
        <v>NAT/PAT</v>
      </c>
      <c r="C28" s="38" t="str">
        <f>A$3</f>
        <v>Prévu</v>
      </c>
      <c r="D28" s="69"/>
      <c r="E28" s="39"/>
      <c r="F28" s="69"/>
      <c r="G28" s="39"/>
      <c r="H28" s="69">
        <v>4.1666666666666664E-2</v>
      </c>
      <c r="I28" s="40"/>
      <c r="J28" s="70">
        <v>4.1666666666666664E-2</v>
      </c>
      <c r="K28" s="40"/>
      <c r="L28" s="71"/>
      <c r="M28" s="39"/>
      <c r="N28" s="70"/>
      <c r="O28" s="39"/>
      <c r="P28" s="71"/>
      <c r="Q28" s="39"/>
      <c r="R28" s="71"/>
      <c r="S28" s="39"/>
      <c r="T28" s="71"/>
      <c r="U28" s="41">
        <f t="shared" si="1"/>
        <v>8.3333333333333329E-2</v>
      </c>
    </row>
    <row r="29" spans="1:21" ht="15" customHeight="1" thickBot="1" x14ac:dyDescent="0.3">
      <c r="B29" s="42"/>
      <c r="C29" s="43" t="str">
        <f>A$4</f>
        <v>Mayor</v>
      </c>
      <c r="D29" s="44">
        <f>SUMIFS('Journal de travail'!$D$4:$D$10001,'Journal de travail'!$B$4:$B$10001,D$5,'Journal de travail'!$C$4:$C$10001,$B28)</f>
        <v>0</v>
      </c>
      <c r="E29" s="45"/>
      <c r="F29" s="44">
        <f>SUMIFS('Journal de travail'!$D$4:$D$10001,'Journal de travail'!$B$4:$B$10001,F$5,'Journal de travail'!$C$4:$C$10001,$B28)</f>
        <v>0</v>
      </c>
      <c r="G29" s="45"/>
      <c r="H29" s="44">
        <f>SUMIFS('Journal de travail'!$D$4:$D$10001,'Journal de travail'!$B$4:$B$10001,H$5,'Journal de travail'!$C$4:$C$10001,$B28)</f>
        <v>0</v>
      </c>
      <c r="I29" s="46"/>
      <c r="J29" s="44">
        <f>SUMIFS('Journal de travail'!$D$4:$D$10001,'Journal de travail'!$B$4:$B$10001,J$5,'Journal de travail'!$C$4:$C$10001,$B28)</f>
        <v>0</v>
      </c>
      <c r="K29" s="46"/>
      <c r="L29" s="44">
        <f>SUMIFS('Journal de travail'!$D$4:$D$10001,'Journal de travail'!$B$4:$B$10001,L$5,'Journal de travail'!$C$4:$C$10001,$B28)</f>
        <v>0</v>
      </c>
      <c r="M29" s="45"/>
      <c r="N29" s="44">
        <f>SUMIFS('Journal de travail'!$D$4:$D$10001,'Journal de travail'!$B$4:$B$10001,N$5,'Journal de travail'!$C$4:$C$10001,$B28)</f>
        <v>0</v>
      </c>
      <c r="O29" s="45"/>
      <c r="P29" s="44">
        <f>SUMIFS('Journal de travail'!$D$4:$D$10001,'Journal de travail'!$B$4:$B$10001,P$5,'Journal de travail'!$C$4:$C$10001,$B28)</f>
        <v>0</v>
      </c>
      <c r="Q29" s="45"/>
      <c r="R29" s="44">
        <f>SUMIFS('Journal de travail'!$D$4:$D$10001,'Journal de travail'!$B$4:$B$10001,R$5,'Journal de travail'!$C$4:$C$10001,$B28)</f>
        <v>0</v>
      </c>
      <c r="S29" s="45"/>
      <c r="T29" s="44">
        <f>SUMIFS('Journal de travail'!$D$4:$D$10001,'Journal de travail'!$B$4:$B$10001,T$5,'Journal de travail'!$C$4:$C$10001,$B28)</f>
        <v>0</v>
      </c>
      <c r="U29" s="47" t="str">
        <f t="shared" si="1"/>
        <v/>
      </c>
    </row>
    <row r="30" spans="1:21" ht="20.25" x14ac:dyDescent="0.25">
      <c r="A30" s="10" t="str">
        <f>Base!F14</f>
        <v>3 Implémentation Physique</v>
      </c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33">
        <f>SUMIF($C32:$C51,$C32,U32:U51)</f>
        <v>0.66666666666666663</v>
      </c>
    </row>
    <row r="31" spans="1:21" ht="15" customHeight="1" thickBot="1" x14ac:dyDescent="0.3">
      <c r="A31" s="55"/>
      <c r="B31" s="56"/>
      <c r="C31" s="56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37">
        <f>SUMIF($C32:$C43,$C33,U32:U43)</f>
        <v>0</v>
      </c>
    </row>
    <row r="32" spans="1:21" ht="15" customHeight="1" x14ac:dyDescent="0.25">
      <c r="B32" s="7" t="str">
        <f>Base!G14</f>
        <v>Installation Fortinet sur PC16</v>
      </c>
      <c r="C32" s="38" t="str">
        <f>A$3</f>
        <v>Prévu</v>
      </c>
      <c r="D32" s="69"/>
      <c r="E32" s="39"/>
      <c r="F32" s="69"/>
      <c r="G32" s="39"/>
      <c r="H32" s="69"/>
      <c r="I32" s="40"/>
      <c r="J32" s="70">
        <v>6.25E-2</v>
      </c>
      <c r="K32" s="40"/>
      <c r="L32" s="71"/>
      <c r="M32" s="39"/>
      <c r="N32" s="70"/>
      <c r="O32" s="39"/>
      <c r="P32" s="71"/>
      <c r="Q32" s="39"/>
      <c r="R32" s="71"/>
      <c r="S32" s="39"/>
      <c r="T32" s="71"/>
      <c r="U32" s="41">
        <f t="shared" ref="U32:U51" si="2">IF(SUM(D32:T32)=0,"",SUM(D32:T32))</f>
        <v>6.25E-2</v>
      </c>
    </row>
    <row r="33" spans="2:21" ht="15" customHeight="1" thickBot="1" x14ac:dyDescent="0.3">
      <c r="B33" s="42"/>
      <c r="C33" s="43" t="str">
        <f>A$4</f>
        <v>Mayor</v>
      </c>
      <c r="D33" s="44">
        <f>SUMIFS('Journal de travail'!$D$4:$D$10001,'Journal de travail'!$B$4:$B$10001,D$5,'Journal de travail'!$C$4:$C$10001,$B32)</f>
        <v>0</v>
      </c>
      <c r="E33" s="45"/>
      <c r="F33" s="44">
        <f>SUMIFS('Journal de travail'!$D$4:$D$10001,'Journal de travail'!$B$4:$B$10001,F$5,'Journal de travail'!$C$4:$C$10001,$B32)</f>
        <v>0</v>
      </c>
      <c r="G33" s="45"/>
      <c r="H33" s="44">
        <f>SUMIFS('Journal de travail'!$D$4:$D$10001,'Journal de travail'!$B$4:$B$10001,H$5,'Journal de travail'!$C$4:$C$10001,$B32)</f>
        <v>0</v>
      </c>
      <c r="I33" s="46"/>
      <c r="J33" s="44">
        <f>SUMIFS('Journal de travail'!$D$4:$D$10001,'Journal de travail'!$B$4:$B$10001,J$5,'Journal de travail'!$C$4:$C$10001,$B32)</f>
        <v>0</v>
      </c>
      <c r="K33" s="46"/>
      <c r="L33" s="44">
        <f>SUMIFS('Journal de travail'!$D$4:$D$10001,'Journal de travail'!$B$4:$B$10001,L$5,'Journal de travail'!$C$4:$C$10001,$B32)</f>
        <v>0</v>
      </c>
      <c r="M33" s="45"/>
      <c r="N33" s="44">
        <f>SUMIFS('Journal de travail'!$D$4:$D$10001,'Journal de travail'!$B$4:$B$10001,N$5,'Journal de travail'!$C$4:$C$10001,$B32)</f>
        <v>0</v>
      </c>
      <c r="O33" s="45"/>
      <c r="P33" s="44">
        <f>SUMIFS('Journal de travail'!$D$4:$D$10001,'Journal de travail'!$B$4:$B$10001,P$5,'Journal de travail'!$C$4:$C$10001,$B32)</f>
        <v>0</v>
      </c>
      <c r="Q33" s="45"/>
      <c r="R33" s="44">
        <f>SUMIFS('Journal de travail'!$D$4:$D$10001,'Journal de travail'!$B$4:$B$10001,R$5,'Journal de travail'!$C$4:$C$10001,$B32)</f>
        <v>0</v>
      </c>
      <c r="S33" s="45"/>
      <c r="T33" s="44">
        <f>SUMIFS('Journal de travail'!$D$4:$D$10001,'Journal de travail'!$B$4:$B$10001,T$5,'Journal de travail'!$C$4:$C$10001,$B32)</f>
        <v>0</v>
      </c>
      <c r="U33" s="47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38" t="str">
        <f t="shared" ref="C34" si="3">A$3</f>
        <v>Prévu</v>
      </c>
      <c r="D34" s="69"/>
      <c r="E34" s="39"/>
      <c r="F34" s="69"/>
      <c r="G34" s="39"/>
      <c r="H34" s="69"/>
      <c r="I34" s="40"/>
      <c r="J34" s="70">
        <v>6.25E-2</v>
      </c>
      <c r="K34" s="40"/>
      <c r="L34" s="71"/>
      <c r="M34" s="39"/>
      <c r="N34" s="70"/>
      <c r="O34" s="39"/>
      <c r="P34" s="71"/>
      <c r="Q34" s="39"/>
      <c r="R34" s="71"/>
      <c r="S34" s="39"/>
      <c r="T34" s="71"/>
      <c r="U34" s="41">
        <f t="shared" si="2"/>
        <v>6.25E-2</v>
      </c>
    </row>
    <row r="35" spans="2:21" ht="15" customHeight="1" thickBot="1" x14ac:dyDescent="0.3">
      <c r="B35" s="42"/>
      <c r="C35" s="43" t="str">
        <f t="shared" ref="C35" si="4">A$4</f>
        <v>Mayor</v>
      </c>
      <c r="D35" s="44">
        <f>SUMIFS('Journal de travail'!$D$4:$D$10001,'Journal de travail'!$B$4:$B$10001,D$5,'Journal de travail'!$C$4:$C$10001,$B34)</f>
        <v>0</v>
      </c>
      <c r="E35" s="45"/>
      <c r="F35" s="44">
        <f>SUMIFS('Journal de travail'!$D$4:$D$10001,'Journal de travail'!$B$4:$B$10001,F$5,'Journal de travail'!$C$4:$C$10001,$B34)</f>
        <v>0</v>
      </c>
      <c r="G35" s="45"/>
      <c r="H35" s="44">
        <f>SUMIFS('Journal de travail'!$D$4:$D$10001,'Journal de travail'!$B$4:$B$10001,H$5,'Journal de travail'!$C$4:$C$10001,$B34)</f>
        <v>0</v>
      </c>
      <c r="I35" s="46"/>
      <c r="J35" s="44">
        <f>SUMIFS('Journal de travail'!$D$4:$D$10001,'Journal de travail'!$B$4:$B$10001,J$5,'Journal de travail'!$C$4:$C$10001,$B34)</f>
        <v>0</v>
      </c>
      <c r="K35" s="46"/>
      <c r="L35" s="44">
        <f>SUMIFS('Journal de travail'!$D$4:$D$10001,'Journal de travail'!$B$4:$B$10001,L$5,'Journal de travail'!$C$4:$C$10001,$B34)</f>
        <v>0</v>
      </c>
      <c r="M35" s="45"/>
      <c r="N35" s="44">
        <f>SUMIFS('Journal de travail'!$D$4:$D$10001,'Journal de travail'!$B$4:$B$10001,N$5,'Journal de travail'!$C$4:$C$10001,$B34)</f>
        <v>0</v>
      </c>
      <c r="O35" s="45"/>
      <c r="P35" s="44">
        <f>SUMIFS('Journal de travail'!$D$4:$D$10001,'Journal de travail'!$B$4:$B$10001,P$5,'Journal de travail'!$C$4:$C$10001,$B34)</f>
        <v>0</v>
      </c>
      <c r="Q35" s="45"/>
      <c r="R35" s="44">
        <f>SUMIFS('Journal de travail'!$D$4:$D$10001,'Journal de travail'!$B$4:$B$10001,R$5,'Journal de travail'!$C$4:$C$10001,$B34)</f>
        <v>0</v>
      </c>
      <c r="S35" s="45"/>
      <c r="T35" s="44">
        <f>SUMIFS('Journal de travail'!$D$4:$D$10001,'Journal de travail'!$B$4:$B$10001,T$5,'Journal de travail'!$C$4:$C$10001,$B34)</f>
        <v>0</v>
      </c>
      <c r="U35" s="47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38" t="str">
        <f t="shared" ref="C36" si="5">A$3</f>
        <v>Prévu</v>
      </c>
      <c r="D36" s="69"/>
      <c r="E36" s="39"/>
      <c r="F36" s="69"/>
      <c r="G36" s="39"/>
      <c r="H36" s="69"/>
      <c r="I36" s="40"/>
      <c r="J36" s="70">
        <v>6.25E-2</v>
      </c>
      <c r="K36" s="40"/>
      <c r="L36" s="71"/>
      <c r="M36" s="39"/>
      <c r="N36" s="70"/>
      <c r="O36" s="39"/>
      <c r="P36" s="71"/>
      <c r="Q36" s="39"/>
      <c r="R36" s="71"/>
      <c r="S36" s="39"/>
      <c r="T36" s="71"/>
      <c r="U36" s="41">
        <f t="shared" si="2"/>
        <v>6.25E-2</v>
      </c>
    </row>
    <row r="37" spans="2:21" ht="15" customHeight="1" thickBot="1" x14ac:dyDescent="0.3">
      <c r="B37" s="42"/>
      <c r="C37" s="43" t="str">
        <f t="shared" ref="C37" si="6">A$4</f>
        <v>Mayor</v>
      </c>
      <c r="D37" s="44">
        <f>SUMIFS('Journal de travail'!$D$4:$D$10001,'Journal de travail'!$B$4:$B$10001,D$5,'Journal de travail'!$C$4:$C$10001,$B36)</f>
        <v>0</v>
      </c>
      <c r="E37" s="45"/>
      <c r="F37" s="44">
        <f>SUMIFS('Journal de travail'!$D$4:$D$10001,'Journal de travail'!$B$4:$B$10001,F$5,'Journal de travail'!$C$4:$C$10001,$B36)</f>
        <v>0</v>
      </c>
      <c r="G37" s="45"/>
      <c r="H37" s="44">
        <f>SUMIFS('Journal de travail'!$D$4:$D$10001,'Journal de travail'!$B$4:$B$10001,H$5,'Journal de travail'!$C$4:$C$10001,$B36)</f>
        <v>0</v>
      </c>
      <c r="I37" s="46"/>
      <c r="J37" s="44">
        <f>SUMIFS('Journal de travail'!$D$4:$D$10001,'Journal de travail'!$B$4:$B$10001,J$5,'Journal de travail'!$C$4:$C$10001,$B36)</f>
        <v>0</v>
      </c>
      <c r="K37" s="46"/>
      <c r="L37" s="44">
        <f>SUMIFS('Journal de travail'!$D$4:$D$10001,'Journal de travail'!$B$4:$B$10001,L$5,'Journal de travail'!$C$4:$C$10001,$B36)</f>
        <v>0</v>
      </c>
      <c r="M37" s="45"/>
      <c r="N37" s="44">
        <f>SUMIFS('Journal de travail'!$D$4:$D$10001,'Journal de travail'!$B$4:$B$10001,N$5,'Journal de travail'!$C$4:$C$10001,$B36)</f>
        <v>0</v>
      </c>
      <c r="O37" s="45"/>
      <c r="P37" s="44">
        <f>SUMIFS('Journal de travail'!$D$4:$D$10001,'Journal de travail'!$B$4:$B$10001,P$5,'Journal de travail'!$C$4:$C$10001,$B36)</f>
        <v>0</v>
      </c>
      <c r="Q37" s="45"/>
      <c r="R37" s="44">
        <f>SUMIFS('Journal de travail'!$D$4:$D$10001,'Journal de travail'!$B$4:$B$10001,R$5,'Journal de travail'!$C$4:$C$10001,$B36)</f>
        <v>0</v>
      </c>
      <c r="S37" s="45"/>
      <c r="T37" s="44">
        <f>SUMIFS('Journal de travail'!$D$4:$D$10001,'Journal de travail'!$B$4:$B$10001,T$5,'Journal de travail'!$C$4:$C$10001,$B36)</f>
        <v>0</v>
      </c>
      <c r="U37" s="47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38" t="str">
        <f t="shared" ref="C38" si="7">A$3</f>
        <v>Prévu</v>
      </c>
      <c r="D38" s="69"/>
      <c r="E38" s="39"/>
      <c r="F38" s="69"/>
      <c r="G38" s="39"/>
      <c r="H38" s="69"/>
      <c r="I38" s="40"/>
      <c r="K38" s="40"/>
      <c r="L38" s="70">
        <v>6.25E-2</v>
      </c>
      <c r="M38" s="39"/>
      <c r="N38" s="70"/>
      <c r="O38" s="39"/>
      <c r="P38" s="71"/>
      <c r="Q38" s="39"/>
      <c r="R38" s="71"/>
      <c r="S38" s="39"/>
      <c r="T38" s="71"/>
      <c r="U38" s="41">
        <f t="shared" si="2"/>
        <v>6.25E-2</v>
      </c>
    </row>
    <row r="39" spans="2:21" ht="15" customHeight="1" thickBot="1" x14ac:dyDescent="0.3">
      <c r="B39" s="42"/>
      <c r="C39" s="43" t="str">
        <f t="shared" ref="C39" si="8">A$4</f>
        <v>Mayor</v>
      </c>
      <c r="D39" s="44">
        <f>SUMIFS('Journal de travail'!$D$4:$D$10001,'Journal de travail'!$B$4:$B$10001,D$5,'Journal de travail'!$C$4:$C$10001,$B38)</f>
        <v>0</v>
      </c>
      <c r="E39" s="45"/>
      <c r="F39" s="44">
        <f>SUMIFS('Journal de travail'!$D$4:$D$10001,'Journal de travail'!$B$4:$B$10001,F$5,'Journal de travail'!$C$4:$C$10001,$B38)</f>
        <v>0</v>
      </c>
      <c r="G39" s="45"/>
      <c r="H39" s="44">
        <f>SUMIFS('Journal de travail'!$D$4:$D$10001,'Journal de travail'!$B$4:$B$10001,H$5,'Journal de travail'!$C$4:$C$10001,$B38)</f>
        <v>0</v>
      </c>
      <c r="I39" s="46"/>
      <c r="J39" s="44">
        <f>SUMIFS('Journal de travail'!$D$4:$D$10001,'Journal de travail'!$B$4:$B$10001,J$5,'Journal de travail'!$C$4:$C$10001,$B38)</f>
        <v>0</v>
      </c>
      <c r="K39" s="46"/>
      <c r="L39" s="44">
        <f>SUMIFS('Journal de travail'!$D$4:$D$10001,'Journal de travail'!$B$4:$B$10001,L$5,'Journal de travail'!$C$4:$C$10001,$B38)</f>
        <v>0</v>
      </c>
      <c r="M39" s="45"/>
      <c r="N39" s="44">
        <f>SUMIFS('Journal de travail'!$D$4:$D$10001,'Journal de travail'!$B$4:$B$10001,N$5,'Journal de travail'!$C$4:$C$10001,$B38)</f>
        <v>0</v>
      </c>
      <c r="O39" s="45"/>
      <c r="P39" s="44">
        <f>SUMIFS('Journal de travail'!$D$4:$D$10001,'Journal de travail'!$B$4:$B$10001,P$5,'Journal de travail'!$C$4:$C$10001,$B38)</f>
        <v>0</v>
      </c>
      <c r="Q39" s="45"/>
      <c r="R39" s="44">
        <f>SUMIFS('Journal de travail'!$D$4:$D$10001,'Journal de travail'!$B$4:$B$10001,R$5,'Journal de travail'!$C$4:$C$10001,$B38)</f>
        <v>0</v>
      </c>
      <c r="S39" s="45"/>
      <c r="T39" s="44">
        <f>SUMIFS('Journal de travail'!$D$4:$D$10001,'Journal de travail'!$B$4:$B$10001,T$5,'Journal de travail'!$C$4:$C$10001,$B38)</f>
        <v>0</v>
      </c>
      <c r="U39" s="47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38" t="str">
        <f t="shared" ref="C40" si="9">A$3</f>
        <v>Prévu</v>
      </c>
      <c r="D40" s="69"/>
      <c r="E40" s="39"/>
      <c r="F40" s="69"/>
      <c r="G40" s="39"/>
      <c r="H40" s="69"/>
      <c r="I40" s="40"/>
      <c r="J40" s="70"/>
      <c r="K40" s="40"/>
      <c r="L40" s="70">
        <v>6.25E-2</v>
      </c>
      <c r="M40" s="39"/>
      <c r="N40" s="70"/>
      <c r="O40" s="39"/>
      <c r="P40" s="71"/>
      <c r="Q40" s="39"/>
      <c r="R40" s="71"/>
      <c r="S40" s="39"/>
      <c r="T40" s="71"/>
      <c r="U40" s="41">
        <f t="shared" si="2"/>
        <v>6.25E-2</v>
      </c>
    </row>
    <row r="41" spans="2:21" ht="15" customHeight="1" thickBot="1" x14ac:dyDescent="0.3">
      <c r="B41" s="42"/>
      <c r="C41" s="43" t="str">
        <f t="shared" ref="C41" si="10">A$4</f>
        <v>Mayor</v>
      </c>
      <c r="D41" s="44">
        <f>SUMIFS('Journal de travail'!$D$4:$D$10001,'Journal de travail'!$B$4:$B$10001,D$5,'Journal de travail'!$C$4:$C$10001,$B40)</f>
        <v>0</v>
      </c>
      <c r="E41" s="45"/>
      <c r="F41" s="44">
        <f>SUMIFS('Journal de travail'!$D$4:$D$10001,'Journal de travail'!$B$4:$B$10001,F$5,'Journal de travail'!$C$4:$C$10001,$B40)</f>
        <v>0</v>
      </c>
      <c r="G41" s="45"/>
      <c r="H41" s="44">
        <f>SUMIFS('Journal de travail'!$D$4:$D$10001,'Journal de travail'!$B$4:$B$10001,H$5,'Journal de travail'!$C$4:$C$10001,$B40)</f>
        <v>0</v>
      </c>
      <c r="I41" s="46"/>
      <c r="J41" s="44">
        <f>SUMIFS('Journal de travail'!$D$4:$D$10001,'Journal de travail'!$B$4:$B$10001,J$5,'Journal de travail'!$C$4:$C$10001,$B40)</f>
        <v>0</v>
      </c>
      <c r="K41" s="46"/>
      <c r="L41" s="44">
        <f>SUMIFS('Journal de travail'!$D$4:$D$10001,'Journal de travail'!$B$4:$B$10001,L$5,'Journal de travail'!$C$4:$C$10001,$B40)</f>
        <v>0</v>
      </c>
      <c r="M41" s="45"/>
      <c r="N41" s="44">
        <f>SUMIFS('Journal de travail'!$D$4:$D$10001,'Journal de travail'!$B$4:$B$10001,N$5,'Journal de travail'!$C$4:$C$10001,$B40)</f>
        <v>0</v>
      </c>
      <c r="O41" s="45"/>
      <c r="P41" s="44">
        <f>SUMIFS('Journal de travail'!$D$4:$D$10001,'Journal de travail'!$B$4:$B$10001,P$5,'Journal de travail'!$C$4:$C$10001,$B40)</f>
        <v>0</v>
      </c>
      <c r="Q41" s="45"/>
      <c r="R41" s="44">
        <f>SUMIFS('Journal de travail'!$D$4:$D$10001,'Journal de travail'!$B$4:$B$10001,R$5,'Journal de travail'!$C$4:$C$10001,$B40)</f>
        <v>0</v>
      </c>
      <c r="S41" s="45"/>
      <c r="T41" s="44">
        <f>SUMIFS('Journal de travail'!$D$4:$D$10001,'Journal de travail'!$B$4:$B$10001,T$5,'Journal de travail'!$C$4:$C$10001,$B40)</f>
        <v>0</v>
      </c>
      <c r="U41" s="47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38" t="str">
        <f t="shared" ref="C42" si="11">A$3</f>
        <v>Prévu</v>
      </c>
      <c r="D42" s="69"/>
      <c r="E42" s="39"/>
      <c r="F42" s="69"/>
      <c r="G42" s="39"/>
      <c r="H42" s="69"/>
      <c r="I42" s="40"/>
      <c r="J42" s="70"/>
      <c r="K42" s="40"/>
      <c r="L42" s="70">
        <v>8.3333333333333329E-2</v>
      </c>
      <c r="M42" s="39"/>
      <c r="N42" s="70"/>
      <c r="O42" s="39"/>
      <c r="P42" s="71"/>
      <c r="Q42" s="39"/>
      <c r="R42" s="71"/>
      <c r="S42" s="39"/>
      <c r="T42" s="71"/>
      <c r="U42" s="41">
        <f t="shared" si="2"/>
        <v>8.3333333333333329E-2</v>
      </c>
    </row>
    <row r="43" spans="2:21" ht="15" customHeight="1" thickBot="1" x14ac:dyDescent="0.3">
      <c r="B43" s="42"/>
      <c r="C43" s="43" t="str">
        <f t="shared" ref="C43" si="12">A$4</f>
        <v>Mayor</v>
      </c>
      <c r="D43" s="44">
        <f>SUMIFS('Journal de travail'!$D$4:$D$10001,'Journal de travail'!$B$4:$B$10001,D$5,'Journal de travail'!$C$4:$C$10001,$B42)</f>
        <v>0</v>
      </c>
      <c r="E43" s="45"/>
      <c r="F43" s="44">
        <f>SUMIFS('Journal de travail'!$D$4:$D$10001,'Journal de travail'!$B$4:$B$10001,F$5,'Journal de travail'!$C$4:$C$10001,$B42)</f>
        <v>0</v>
      </c>
      <c r="G43" s="45"/>
      <c r="H43" s="44">
        <f>SUMIFS('Journal de travail'!$D$4:$D$10001,'Journal de travail'!$B$4:$B$10001,H$5,'Journal de travail'!$C$4:$C$10001,$B42)</f>
        <v>0</v>
      </c>
      <c r="I43" s="46"/>
      <c r="J43" s="44">
        <f>SUMIFS('Journal de travail'!$D$4:$D$10001,'Journal de travail'!$B$4:$B$10001,J$5,'Journal de travail'!$C$4:$C$10001,$B42)</f>
        <v>0</v>
      </c>
      <c r="K43" s="46"/>
      <c r="L43" s="44">
        <f>SUMIFS('Journal de travail'!$D$4:$D$10001,'Journal de travail'!$B$4:$B$10001,L$5,'Journal de travail'!$C$4:$C$10001,$B42)</f>
        <v>0</v>
      </c>
      <c r="M43" s="45"/>
      <c r="N43" s="44">
        <f>SUMIFS('Journal de travail'!$D$4:$D$10001,'Journal de travail'!$B$4:$B$10001,N$5,'Journal de travail'!$C$4:$C$10001,$B42)</f>
        <v>0</v>
      </c>
      <c r="O43" s="45"/>
      <c r="P43" s="44">
        <f>SUMIFS('Journal de travail'!$D$4:$D$10001,'Journal de travail'!$B$4:$B$10001,P$5,'Journal de travail'!$C$4:$C$10001,$B42)</f>
        <v>0</v>
      </c>
      <c r="Q43" s="45"/>
      <c r="R43" s="44">
        <f>SUMIFS('Journal de travail'!$D$4:$D$10001,'Journal de travail'!$B$4:$B$10001,R$5,'Journal de travail'!$C$4:$C$10001,$B42)</f>
        <v>0</v>
      </c>
      <c r="S43" s="45"/>
      <c r="T43" s="44">
        <f>SUMIFS('Journal de travail'!$D$4:$D$10001,'Journal de travail'!$B$4:$B$10001,T$5,'Journal de travail'!$C$4:$C$10001,$B42)</f>
        <v>0</v>
      </c>
      <c r="U43" s="47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38" t="str">
        <f t="shared" ref="C44" si="13">A$3</f>
        <v>Prévu</v>
      </c>
      <c r="D44" s="69"/>
      <c r="E44" s="39"/>
      <c r="F44" s="69"/>
      <c r="G44" s="39"/>
      <c r="H44" s="69"/>
      <c r="I44" s="40"/>
      <c r="J44" s="70"/>
      <c r="K44" s="40"/>
      <c r="M44" s="39"/>
      <c r="N44" s="70">
        <v>6.25E-2</v>
      </c>
      <c r="O44" s="39"/>
      <c r="P44" s="71"/>
      <c r="Q44" s="39"/>
      <c r="R44" s="71"/>
      <c r="S44" s="39"/>
      <c r="T44" s="71"/>
      <c r="U44" s="41">
        <f t="shared" si="2"/>
        <v>6.25E-2</v>
      </c>
    </row>
    <row r="45" spans="2:21" ht="15" customHeight="1" thickBot="1" x14ac:dyDescent="0.3">
      <c r="B45" s="42"/>
      <c r="C45" s="43" t="str">
        <f t="shared" ref="C45" si="14">A$4</f>
        <v>Mayor</v>
      </c>
      <c r="D45" s="44">
        <f>SUMIFS('Journal de travail'!$D$4:$D$10001,'Journal de travail'!$B$4:$B$10001,D$5,'Journal de travail'!$C$4:$C$10001,$B44)</f>
        <v>0</v>
      </c>
      <c r="E45" s="45"/>
      <c r="F45" s="44">
        <f>SUMIFS('Journal de travail'!$D$4:$D$10001,'Journal de travail'!$B$4:$B$10001,F$5,'Journal de travail'!$C$4:$C$10001,$B44)</f>
        <v>0</v>
      </c>
      <c r="G45" s="45"/>
      <c r="H45" s="44">
        <f>SUMIFS('Journal de travail'!$D$4:$D$10001,'Journal de travail'!$B$4:$B$10001,H$5,'Journal de travail'!$C$4:$C$10001,$B44)</f>
        <v>0</v>
      </c>
      <c r="I45" s="46"/>
      <c r="J45" s="44">
        <f>SUMIFS('Journal de travail'!$D$4:$D$10001,'Journal de travail'!$B$4:$B$10001,J$5,'Journal de travail'!$C$4:$C$10001,$B44)</f>
        <v>0</v>
      </c>
      <c r="K45" s="46"/>
      <c r="L45" s="44">
        <f>SUMIFS('Journal de travail'!$D$4:$D$10001,'Journal de travail'!$B$4:$B$10001,L$5,'Journal de travail'!$C$4:$C$10001,$B44)</f>
        <v>0</v>
      </c>
      <c r="M45" s="45"/>
      <c r="N45" s="44">
        <f>SUMIFS('Journal de travail'!$D$4:$D$10001,'Journal de travail'!$B$4:$B$10001,N$5,'Journal de travail'!$C$4:$C$10001,$B44)</f>
        <v>0</v>
      </c>
      <c r="O45" s="45"/>
      <c r="P45" s="44">
        <f>SUMIFS('Journal de travail'!$D$4:$D$10001,'Journal de travail'!$B$4:$B$10001,P$5,'Journal de travail'!$C$4:$C$10001,$B44)</f>
        <v>0</v>
      </c>
      <c r="Q45" s="45"/>
      <c r="R45" s="44">
        <f>SUMIFS('Journal de travail'!$D$4:$D$10001,'Journal de travail'!$B$4:$B$10001,R$5,'Journal de travail'!$C$4:$C$10001,$B44)</f>
        <v>0</v>
      </c>
      <c r="S45" s="45"/>
      <c r="T45" s="44">
        <f>SUMIFS('Journal de travail'!$D$4:$D$10001,'Journal de travail'!$B$4:$B$10001,T$5,'Journal de travail'!$C$4:$C$10001,$B44)</f>
        <v>0</v>
      </c>
      <c r="U45" s="47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38" t="str">
        <f t="shared" ref="C46" si="15">A$3</f>
        <v>Prévu</v>
      </c>
      <c r="D46" s="69"/>
      <c r="E46" s="39"/>
      <c r="F46" s="69"/>
      <c r="G46" s="39"/>
      <c r="H46" s="69"/>
      <c r="I46" s="40"/>
      <c r="J46" s="70"/>
      <c r="K46" s="40"/>
      <c r="M46" s="39"/>
      <c r="N46" s="70">
        <v>6.25E-2</v>
      </c>
      <c r="O46" s="39"/>
      <c r="P46" s="71"/>
      <c r="Q46" s="39"/>
      <c r="R46" s="71"/>
      <c r="S46" s="39"/>
      <c r="T46" s="71"/>
      <c r="U46" s="41">
        <f t="shared" si="2"/>
        <v>6.25E-2</v>
      </c>
    </row>
    <row r="47" spans="2:21" ht="15" customHeight="1" thickBot="1" x14ac:dyDescent="0.3">
      <c r="B47" s="42"/>
      <c r="C47" s="43" t="str">
        <f t="shared" ref="C47" si="16">A$4</f>
        <v>Mayor</v>
      </c>
      <c r="D47" s="44">
        <f>SUMIFS('Journal de travail'!$D$4:$D$10001,'Journal de travail'!$B$4:$B$10001,D$5,'Journal de travail'!$C$4:$C$10001,$B46)</f>
        <v>0</v>
      </c>
      <c r="E47" s="45"/>
      <c r="F47" s="44">
        <f>SUMIFS('Journal de travail'!$D$4:$D$10001,'Journal de travail'!$B$4:$B$10001,F$5,'Journal de travail'!$C$4:$C$10001,$B46)</f>
        <v>0</v>
      </c>
      <c r="G47" s="45"/>
      <c r="H47" s="44">
        <f>SUMIFS('Journal de travail'!$D$4:$D$10001,'Journal de travail'!$B$4:$B$10001,H$5,'Journal de travail'!$C$4:$C$10001,$B46)</f>
        <v>0</v>
      </c>
      <c r="I47" s="46"/>
      <c r="J47" s="44">
        <f>SUMIFS('Journal de travail'!$D$4:$D$10001,'Journal de travail'!$B$4:$B$10001,J$5,'Journal de travail'!$C$4:$C$10001,$B46)</f>
        <v>0</v>
      </c>
      <c r="K47" s="46"/>
      <c r="L47" s="44">
        <f>SUMIFS('Journal de travail'!$D$4:$D$10001,'Journal de travail'!$B$4:$B$10001,L$5,'Journal de travail'!$C$4:$C$10001,$B46)</f>
        <v>0</v>
      </c>
      <c r="M47" s="45"/>
      <c r="N47" s="44">
        <f>SUMIFS('Journal de travail'!$D$4:$D$10001,'Journal de travail'!$B$4:$B$10001,N$5,'Journal de travail'!$C$4:$C$10001,$B46)</f>
        <v>0</v>
      </c>
      <c r="O47" s="45"/>
      <c r="P47" s="44">
        <f>SUMIFS('Journal de travail'!$D$4:$D$10001,'Journal de travail'!$B$4:$B$10001,P$5,'Journal de travail'!$C$4:$C$10001,$B46)</f>
        <v>0</v>
      </c>
      <c r="Q47" s="45"/>
      <c r="R47" s="44">
        <f>SUMIFS('Journal de travail'!$D$4:$D$10001,'Journal de travail'!$B$4:$B$10001,R$5,'Journal de travail'!$C$4:$C$10001,$B46)</f>
        <v>0</v>
      </c>
      <c r="S47" s="45"/>
      <c r="T47" s="44">
        <f>SUMIFS('Journal de travail'!$D$4:$D$10001,'Journal de travail'!$B$4:$B$10001,T$5,'Journal de travail'!$C$4:$C$10001,$B46)</f>
        <v>0</v>
      </c>
      <c r="U47" s="47" t="str">
        <f t="shared" si="2"/>
        <v/>
      </c>
    </row>
    <row r="48" spans="2:21" ht="15" customHeight="1" x14ac:dyDescent="0.25">
      <c r="B48" s="7" t="str">
        <f>Base!G22</f>
        <v>Ajout machine LAN2</v>
      </c>
      <c r="C48" s="38" t="str">
        <f t="shared" ref="C48" si="17">A$3</f>
        <v>Prévu</v>
      </c>
      <c r="D48" s="69"/>
      <c r="E48" s="39"/>
      <c r="F48" s="69"/>
      <c r="G48" s="39"/>
      <c r="H48" s="69"/>
      <c r="I48" s="40"/>
      <c r="J48" s="70"/>
      <c r="K48" s="40"/>
      <c r="L48" s="71"/>
      <c r="M48" s="39"/>
      <c r="N48" s="70">
        <v>6.25E-2</v>
      </c>
      <c r="O48" s="39"/>
      <c r="P48" s="71"/>
      <c r="Q48" s="39"/>
      <c r="R48" s="71"/>
      <c r="S48" s="39"/>
      <c r="T48" s="71"/>
      <c r="U48" s="41">
        <f t="shared" si="2"/>
        <v>6.25E-2</v>
      </c>
    </row>
    <row r="49" spans="1:21" ht="15" customHeight="1" thickBot="1" x14ac:dyDescent="0.3">
      <c r="B49" s="42"/>
      <c r="C49" s="43" t="str">
        <f t="shared" ref="C49" si="18">A$4</f>
        <v>Mayor</v>
      </c>
      <c r="D49" s="44">
        <f>SUMIFS('Journal de travail'!$D$4:$D$10001,'Journal de travail'!$B$4:$B$10001,D$5,'Journal de travail'!$C$4:$C$10001,$B48)</f>
        <v>0</v>
      </c>
      <c r="E49" s="45"/>
      <c r="F49" s="44">
        <f>SUMIFS('Journal de travail'!$D$4:$D$10001,'Journal de travail'!$B$4:$B$10001,F$5,'Journal de travail'!$C$4:$C$10001,$B48)</f>
        <v>0</v>
      </c>
      <c r="G49" s="45"/>
      <c r="H49" s="44">
        <f>SUMIFS('Journal de travail'!$D$4:$D$10001,'Journal de travail'!$B$4:$B$10001,H$5,'Journal de travail'!$C$4:$C$10001,$B48)</f>
        <v>0</v>
      </c>
      <c r="I49" s="46"/>
      <c r="J49" s="44">
        <f>SUMIFS('Journal de travail'!$D$4:$D$10001,'Journal de travail'!$B$4:$B$10001,J$5,'Journal de travail'!$C$4:$C$10001,$B48)</f>
        <v>0</v>
      </c>
      <c r="K49" s="46"/>
      <c r="L49" s="44">
        <f>SUMIFS('Journal de travail'!$D$4:$D$10001,'Journal de travail'!$B$4:$B$10001,L$5,'Journal de travail'!$C$4:$C$10001,$B48)</f>
        <v>0</v>
      </c>
      <c r="M49" s="45"/>
      <c r="N49" s="44">
        <f>SUMIFS('Journal de travail'!$D$4:$D$10001,'Journal de travail'!$B$4:$B$10001,N$5,'Journal de travail'!$C$4:$C$10001,$B48)</f>
        <v>0</v>
      </c>
      <c r="O49" s="45"/>
      <c r="P49" s="44">
        <f>SUMIFS('Journal de travail'!$D$4:$D$10001,'Journal de travail'!$B$4:$B$10001,P$5,'Journal de travail'!$C$4:$C$10001,$B48)</f>
        <v>0</v>
      </c>
      <c r="Q49" s="45"/>
      <c r="R49" s="44">
        <f>SUMIFS('Journal de travail'!$D$4:$D$10001,'Journal de travail'!$B$4:$B$10001,R$5,'Journal de travail'!$C$4:$C$10001,$B48)</f>
        <v>0</v>
      </c>
      <c r="S49" s="45"/>
      <c r="T49" s="44">
        <f>SUMIFS('Journal de travail'!$D$4:$D$10001,'Journal de travail'!$B$4:$B$10001,T$5,'Journal de travail'!$C$4:$C$10001,$B48)</f>
        <v>0</v>
      </c>
      <c r="U49" s="47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38" t="str">
        <f t="shared" ref="C50" si="19">A$3</f>
        <v>Prévu</v>
      </c>
      <c r="D50" s="69"/>
      <c r="E50" s="39"/>
      <c r="F50" s="69"/>
      <c r="G50" s="39"/>
      <c r="H50" s="69"/>
      <c r="I50" s="40"/>
      <c r="J50" s="70"/>
      <c r="K50" s="40"/>
      <c r="L50" s="71"/>
      <c r="M50" s="39"/>
      <c r="O50" s="39"/>
      <c r="P50" s="70">
        <v>8.3333333333333329E-2</v>
      </c>
      <c r="Q50" s="39"/>
      <c r="R50" s="71"/>
      <c r="S50" s="39"/>
      <c r="T50" s="71"/>
      <c r="U50" s="41">
        <f t="shared" si="2"/>
        <v>8.3333333333333329E-2</v>
      </c>
    </row>
    <row r="51" spans="1:21" ht="15" customHeight="1" thickBot="1" x14ac:dyDescent="0.3">
      <c r="B51" s="42"/>
      <c r="C51" s="43" t="str">
        <f t="shared" ref="C51" si="20">A$4</f>
        <v>Mayor</v>
      </c>
      <c r="D51" s="44">
        <f>SUMIFS('Journal de travail'!$D$4:$D$10001,'Journal de travail'!$B$4:$B$10001,D$5,'Journal de travail'!$C$4:$C$10001,$B50)</f>
        <v>0</v>
      </c>
      <c r="E51" s="45"/>
      <c r="F51" s="44">
        <f>SUMIFS('Journal de travail'!$D$4:$D$10001,'Journal de travail'!$B$4:$B$10001,F$5,'Journal de travail'!$C$4:$C$10001,$B50)</f>
        <v>0</v>
      </c>
      <c r="G51" s="45"/>
      <c r="H51" s="44">
        <f>SUMIFS('Journal de travail'!$D$4:$D$10001,'Journal de travail'!$B$4:$B$10001,H$5,'Journal de travail'!$C$4:$C$10001,$B50)</f>
        <v>0</v>
      </c>
      <c r="I51" s="46"/>
      <c r="J51" s="44">
        <f>SUMIFS('Journal de travail'!$D$4:$D$10001,'Journal de travail'!$B$4:$B$10001,J$5,'Journal de travail'!$C$4:$C$10001,$B50)</f>
        <v>0</v>
      </c>
      <c r="K51" s="46"/>
      <c r="L51" s="44">
        <f>SUMIFS('Journal de travail'!$D$4:$D$10001,'Journal de travail'!$B$4:$B$10001,L$5,'Journal de travail'!$C$4:$C$10001,$B50)</f>
        <v>0</v>
      </c>
      <c r="M51" s="45"/>
      <c r="N51" s="44">
        <f>SUMIFS('Journal de travail'!$D$4:$D$10001,'Journal de travail'!$B$4:$B$10001,N$5,'Journal de travail'!$C$4:$C$10001,$B50)</f>
        <v>0</v>
      </c>
      <c r="O51" s="45"/>
      <c r="P51" s="44">
        <f>SUMIFS('Journal de travail'!$D$4:$D$10001,'Journal de travail'!$B$4:$B$10001,P$5,'Journal de travail'!$C$4:$C$10001,$B50)</f>
        <v>0</v>
      </c>
      <c r="Q51" s="45"/>
      <c r="R51" s="44">
        <f>SUMIFS('Journal de travail'!$D$4:$D$10001,'Journal de travail'!$B$4:$B$10001,R$5,'Journal de travail'!$C$4:$C$10001,$B50)</f>
        <v>0</v>
      </c>
      <c r="S51" s="45"/>
      <c r="T51" s="44">
        <f>SUMIFS('Journal de travail'!$D$4:$D$10001,'Journal de travail'!$B$4:$B$10001,T$5,'Journal de travail'!$C$4:$C$10001,$B50)</f>
        <v>0</v>
      </c>
      <c r="U51" s="47" t="str">
        <f t="shared" si="2"/>
        <v/>
      </c>
    </row>
    <row r="52" spans="1:21" ht="20.25" x14ac:dyDescent="0.25">
      <c r="A52" s="11" t="str">
        <f>Base!F24</f>
        <v>4 Tests</v>
      </c>
      <c r="B52" s="58"/>
      <c r="C52" s="58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33">
        <f>SUMIF($C54:$C71,$C54,U54:U71)</f>
        <v>0.28125</v>
      </c>
    </row>
    <row r="53" spans="1:21" ht="15" customHeight="1" thickBot="1" x14ac:dyDescent="0.3">
      <c r="A53" s="60"/>
      <c r="B53" s="61"/>
      <c r="C53" s="61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37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38" t="str">
        <f>A$3</f>
        <v>Prévu</v>
      </c>
      <c r="D54" s="69"/>
      <c r="E54" s="39"/>
      <c r="F54" s="69"/>
      <c r="G54" s="39"/>
      <c r="H54" s="69"/>
      <c r="I54" s="40"/>
      <c r="J54" s="70">
        <v>3.125E-2</v>
      </c>
      <c r="K54" s="40"/>
      <c r="L54" s="71"/>
      <c r="M54" s="39"/>
      <c r="N54" s="70"/>
      <c r="O54" s="39"/>
      <c r="P54" s="71"/>
      <c r="Q54" s="39"/>
      <c r="R54" s="71"/>
      <c r="S54" s="39"/>
      <c r="T54" s="71"/>
      <c r="U54" s="41">
        <f t="shared" ref="U54:U65" si="21">IF(SUM(D54:T54)=0,"",SUM(D54:T54))</f>
        <v>3.125E-2</v>
      </c>
    </row>
    <row r="55" spans="1:21" ht="15" customHeight="1" thickBot="1" x14ac:dyDescent="0.3">
      <c r="B55" s="42"/>
      <c r="C55" s="43" t="str">
        <f>A$4</f>
        <v>Mayor</v>
      </c>
      <c r="D55" s="44">
        <f>SUMIFS('Journal de travail'!$D$4:$D$10001,'Journal de travail'!$B$4:$B$10001,D$5,'Journal de travail'!$C$4:$C$10001,$B54)</f>
        <v>0</v>
      </c>
      <c r="E55" s="45"/>
      <c r="F55" s="44">
        <f>SUMIFS('Journal de travail'!$D$4:$D$10001,'Journal de travail'!$B$4:$B$10001,F$5,'Journal de travail'!$C$4:$C$10001,$B54)</f>
        <v>0</v>
      </c>
      <c r="G55" s="45"/>
      <c r="H55" s="44">
        <f>SUMIFS('Journal de travail'!$D$4:$D$10001,'Journal de travail'!$B$4:$B$10001,H$5,'Journal de travail'!$C$4:$C$10001,$B54)</f>
        <v>0</v>
      </c>
      <c r="I55" s="46"/>
      <c r="J55" s="44">
        <f>SUMIFS('Journal de travail'!$D$4:$D$10001,'Journal de travail'!$B$4:$B$10001,J$5,'Journal de travail'!$C$4:$C$10001,$B54)</f>
        <v>0</v>
      </c>
      <c r="K55" s="46"/>
      <c r="L55" s="44">
        <f>SUMIFS('Journal de travail'!$D$4:$D$10001,'Journal de travail'!$B$4:$B$10001,L$5,'Journal de travail'!$C$4:$C$10001,$B54)</f>
        <v>0</v>
      </c>
      <c r="M55" s="45"/>
      <c r="N55" s="44">
        <f>SUMIFS('Journal de travail'!$D$4:$D$10001,'Journal de travail'!$B$4:$B$10001,N$5,'Journal de travail'!$C$4:$C$10001,$B54)</f>
        <v>0</v>
      </c>
      <c r="O55" s="45"/>
      <c r="P55" s="44">
        <f>SUMIFS('Journal de travail'!$D$4:$D$10001,'Journal de travail'!$B$4:$B$10001,P$5,'Journal de travail'!$C$4:$C$10001,$B54)</f>
        <v>0</v>
      </c>
      <c r="Q55" s="45"/>
      <c r="R55" s="44">
        <f>SUMIFS('Journal de travail'!$D$4:$D$10001,'Journal de travail'!$B$4:$B$10001,R$5,'Journal de travail'!$C$4:$C$10001,$B54)</f>
        <v>0</v>
      </c>
      <c r="S55" s="45"/>
      <c r="T55" s="44">
        <f>SUMIFS('Journal de travail'!$D$4:$D$10001,'Journal de travail'!$B$4:$B$10001,T$5,'Journal de travail'!$C$4:$C$10001,$B54)</f>
        <v>0</v>
      </c>
      <c r="U55" s="47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38" t="str">
        <f>A$3</f>
        <v>Prévu</v>
      </c>
      <c r="D56" s="69"/>
      <c r="E56" s="39"/>
      <c r="F56" s="69"/>
      <c r="G56" s="39"/>
      <c r="H56" s="69"/>
      <c r="I56" s="40"/>
      <c r="J56" s="70">
        <v>3.125E-2</v>
      </c>
      <c r="K56" s="40"/>
      <c r="L56" s="71"/>
      <c r="M56" s="39"/>
      <c r="N56" s="70"/>
      <c r="O56" s="39"/>
      <c r="P56" s="71"/>
      <c r="Q56" s="39"/>
      <c r="R56" s="71"/>
      <c r="S56" s="39"/>
      <c r="T56" s="71"/>
      <c r="U56" s="41">
        <f t="shared" si="21"/>
        <v>3.125E-2</v>
      </c>
    </row>
    <row r="57" spans="1:21" ht="15" customHeight="1" thickBot="1" x14ac:dyDescent="0.3">
      <c r="B57" s="42"/>
      <c r="C57" s="43" t="str">
        <f>A$4</f>
        <v>Mayor</v>
      </c>
      <c r="D57" s="44">
        <f>SUMIFS('Journal de travail'!$D$4:$D$10001,'Journal de travail'!$B$4:$B$10001,D$5,'Journal de travail'!$C$4:$C$10001,$B56)</f>
        <v>0</v>
      </c>
      <c r="E57" s="45"/>
      <c r="F57" s="44">
        <f>SUMIFS('Journal de travail'!$D$4:$D$10001,'Journal de travail'!$B$4:$B$10001,F$5,'Journal de travail'!$C$4:$C$10001,$B56)</f>
        <v>0</v>
      </c>
      <c r="G57" s="45"/>
      <c r="H57" s="44">
        <f>SUMIFS('Journal de travail'!$D$4:$D$10001,'Journal de travail'!$B$4:$B$10001,H$5,'Journal de travail'!$C$4:$C$10001,$B56)</f>
        <v>0</v>
      </c>
      <c r="I57" s="46"/>
      <c r="J57" s="44">
        <f>SUMIFS('Journal de travail'!$D$4:$D$10001,'Journal de travail'!$B$4:$B$10001,J$5,'Journal de travail'!$C$4:$C$10001,$B56)</f>
        <v>0</v>
      </c>
      <c r="K57" s="46"/>
      <c r="L57" s="44">
        <f>SUMIFS('Journal de travail'!$D$4:$D$10001,'Journal de travail'!$B$4:$B$10001,L$5,'Journal de travail'!$C$4:$C$10001,$B56)</f>
        <v>0</v>
      </c>
      <c r="M57" s="45"/>
      <c r="N57" s="44">
        <f>SUMIFS('Journal de travail'!$D$4:$D$10001,'Journal de travail'!$B$4:$B$10001,N$5,'Journal de travail'!$C$4:$C$10001,$B56)</f>
        <v>0</v>
      </c>
      <c r="O57" s="45"/>
      <c r="P57" s="44">
        <f>SUMIFS('Journal de travail'!$D$4:$D$10001,'Journal de travail'!$B$4:$B$10001,P$5,'Journal de travail'!$C$4:$C$10001,$B56)</f>
        <v>0</v>
      </c>
      <c r="Q57" s="45"/>
      <c r="R57" s="44">
        <f>SUMIFS('Journal de travail'!$D$4:$D$10001,'Journal de travail'!$B$4:$B$10001,R$5,'Journal de travail'!$C$4:$C$10001,$B56)</f>
        <v>0</v>
      </c>
      <c r="S57" s="45"/>
      <c r="T57" s="44">
        <f>SUMIFS('Journal de travail'!$D$4:$D$10001,'Journal de travail'!$B$4:$B$10001,T$5,'Journal de travail'!$C$4:$C$10001,$B56)</f>
        <v>0</v>
      </c>
      <c r="U57" s="47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38" t="str">
        <f>A$3</f>
        <v>Prévu</v>
      </c>
      <c r="D58" s="69"/>
      <c r="E58" s="39"/>
      <c r="F58" s="69"/>
      <c r="G58" s="39"/>
      <c r="H58" s="69"/>
      <c r="I58" s="40"/>
      <c r="K58" s="40"/>
      <c r="L58" s="70">
        <v>3.125E-2</v>
      </c>
      <c r="M58" s="39"/>
      <c r="N58" s="70"/>
      <c r="O58" s="39"/>
      <c r="P58" s="71"/>
      <c r="Q58" s="39"/>
      <c r="R58" s="71"/>
      <c r="S58" s="39"/>
      <c r="T58" s="71"/>
      <c r="U58" s="41">
        <f t="shared" si="21"/>
        <v>3.125E-2</v>
      </c>
    </row>
    <row r="59" spans="1:21" ht="15" customHeight="1" thickBot="1" x14ac:dyDescent="0.3">
      <c r="B59" s="42"/>
      <c r="C59" s="43" t="str">
        <f>A$4</f>
        <v>Mayor</v>
      </c>
      <c r="D59" s="44">
        <f>SUMIFS('Journal de travail'!$D$4:$D$10001,'Journal de travail'!$B$4:$B$10001,D$5,'Journal de travail'!$C$4:$C$10001,$B58)</f>
        <v>0</v>
      </c>
      <c r="E59" s="45"/>
      <c r="F59" s="44">
        <f>SUMIFS('Journal de travail'!$D$4:$D$10001,'Journal de travail'!$B$4:$B$10001,F$5,'Journal de travail'!$C$4:$C$10001,$B58)</f>
        <v>0</v>
      </c>
      <c r="G59" s="45"/>
      <c r="H59" s="44">
        <f>SUMIFS('Journal de travail'!$D$4:$D$10001,'Journal de travail'!$B$4:$B$10001,H$5,'Journal de travail'!$C$4:$C$10001,$B58)</f>
        <v>0</v>
      </c>
      <c r="I59" s="46"/>
      <c r="J59" s="44">
        <f>SUMIFS('Journal de travail'!$D$4:$D$10001,'Journal de travail'!$B$4:$B$10001,J$5,'Journal de travail'!$C$4:$C$10001,$B58)</f>
        <v>0</v>
      </c>
      <c r="K59" s="46"/>
      <c r="L59" s="44">
        <f>SUMIFS('Journal de travail'!$D$4:$D$10001,'Journal de travail'!$B$4:$B$10001,L$5,'Journal de travail'!$C$4:$C$10001,$B58)</f>
        <v>0</v>
      </c>
      <c r="M59" s="45"/>
      <c r="N59" s="44">
        <f>SUMIFS('Journal de travail'!$D$4:$D$10001,'Journal de travail'!$B$4:$B$10001,N$5,'Journal de travail'!$C$4:$C$10001,$B58)</f>
        <v>0</v>
      </c>
      <c r="O59" s="45"/>
      <c r="P59" s="44">
        <f>SUMIFS('Journal de travail'!$D$4:$D$10001,'Journal de travail'!$B$4:$B$10001,P$5,'Journal de travail'!$C$4:$C$10001,$B58)</f>
        <v>0</v>
      </c>
      <c r="Q59" s="45"/>
      <c r="R59" s="44">
        <f>SUMIFS('Journal de travail'!$D$4:$D$10001,'Journal de travail'!$B$4:$B$10001,R$5,'Journal de travail'!$C$4:$C$10001,$B58)</f>
        <v>0</v>
      </c>
      <c r="S59" s="45"/>
      <c r="T59" s="44">
        <f>SUMIFS('Journal de travail'!$D$4:$D$10001,'Journal de travail'!$B$4:$B$10001,T$5,'Journal de travail'!$C$4:$C$10001,$B58)</f>
        <v>0</v>
      </c>
      <c r="U59" s="47" t="str">
        <f t="shared" si="21"/>
        <v/>
      </c>
    </row>
    <row r="60" spans="1:21" ht="15" customHeight="1" x14ac:dyDescent="0.25">
      <c r="B60" s="7" t="str">
        <f>Base!G27</f>
        <v>PC12 arrive à rejoindre LAN1</v>
      </c>
      <c r="C60" s="38" t="str">
        <f>A$3</f>
        <v>Prévu</v>
      </c>
      <c r="D60" s="69"/>
      <c r="E60" s="39"/>
      <c r="F60" s="69"/>
      <c r="G60" s="39"/>
      <c r="H60" s="69"/>
      <c r="I60" s="40"/>
      <c r="J60" s="70"/>
      <c r="K60" s="40"/>
      <c r="L60" s="71">
        <v>3.125E-2</v>
      </c>
      <c r="M60" s="39"/>
      <c r="N60" s="70"/>
      <c r="O60" s="39"/>
      <c r="P60" s="71"/>
      <c r="Q60" s="39"/>
      <c r="R60" s="71"/>
      <c r="S60" s="39"/>
      <c r="T60" s="71"/>
      <c r="U60" s="41">
        <f t="shared" si="21"/>
        <v>3.125E-2</v>
      </c>
    </row>
    <row r="61" spans="1:21" ht="15" customHeight="1" thickBot="1" x14ac:dyDescent="0.3">
      <c r="B61" s="42"/>
      <c r="C61" s="43" t="str">
        <f>A$4</f>
        <v>Mayor</v>
      </c>
      <c r="D61" s="44">
        <f>SUMIFS('Journal de travail'!$D$4:$D$10001,'Journal de travail'!$B$4:$B$10001,D$5,'Journal de travail'!$C$4:$C$10001,$B60)</f>
        <v>0</v>
      </c>
      <c r="E61" s="45"/>
      <c r="F61" s="44">
        <f>SUMIFS('Journal de travail'!$D$4:$D$10001,'Journal de travail'!$B$4:$B$10001,F$5,'Journal de travail'!$C$4:$C$10001,$B60)</f>
        <v>0</v>
      </c>
      <c r="G61" s="45"/>
      <c r="H61" s="44">
        <f>SUMIFS('Journal de travail'!$D$4:$D$10001,'Journal de travail'!$B$4:$B$10001,H$5,'Journal de travail'!$C$4:$C$10001,$B60)</f>
        <v>0</v>
      </c>
      <c r="I61" s="46"/>
      <c r="J61" s="44">
        <f>SUMIFS('Journal de travail'!$D$4:$D$10001,'Journal de travail'!$B$4:$B$10001,J$5,'Journal de travail'!$C$4:$C$10001,$B60)</f>
        <v>0</v>
      </c>
      <c r="K61" s="46"/>
      <c r="L61" s="44">
        <f>SUMIFS('Journal de travail'!$D$4:$D$10001,'Journal de travail'!$B$4:$B$10001,L$5,'Journal de travail'!$C$4:$C$10001,$B60)</f>
        <v>0</v>
      </c>
      <c r="M61" s="45"/>
      <c r="N61" s="44">
        <f>SUMIFS('Journal de travail'!$D$4:$D$10001,'Journal de travail'!$B$4:$B$10001,N$5,'Journal de travail'!$C$4:$C$10001,$B60)</f>
        <v>0</v>
      </c>
      <c r="O61" s="45"/>
      <c r="P61" s="44">
        <f>SUMIFS('Journal de travail'!$D$4:$D$10001,'Journal de travail'!$B$4:$B$10001,P$5,'Journal de travail'!$C$4:$C$10001,$B60)</f>
        <v>0</v>
      </c>
      <c r="Q61" s="45"/>
      <c r="R61" s="44">
        <f>SUMIFS('Journal de travail'!$D$4:$D$10001,'Journal de travail'!$B$4:$B$10001,R$5,'Journal de travail'!$C$4:$C$10001,$B60)</f>
        <v>0</v>
      </c>
      <c r="S61" s="45"/>
      <c r="T61" s="44">
        <f>SUMIFS('Journal de travail'!$D$4:$D$10001,'Journal de travail'!$B$4:$B$10001,T$5,'Journal de travail'!$C$4:$C$10001,$B60)</f>
        <v>0</v>
      </c>
      <c r="U61" s="47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38" t="str">
        <f>A$3</f>
        <v>Prévu</v>
      </c>
      <c r="D62" s="69"/>
      <c r="E62" s="39"/>
      <c r="F62" s="69"/>
      <c r="G62" s="39"/>
      <c r="H62" s="69"/>
      <c r="I62" s="40"/>
      <c r="J62" s="70"/>
      <c r="K62" s="40"/>
      <c r="L62" s="71">
        <v>3.125E-2</v>
      </c>
      <c r="M62" s="39"/>
      <c r="O62" s="39"/>
      <c r="P62" s="71"/>
      <c r="Q62" s="39"/>
      <c r="R62" s="71"/>
      <c r="S62" s="39"/>
      <c r="T62" s="71"/>
      <c r="U62" s="41">
        <f t="shared" si="21"/>
        <v>3.125E-2</v>
      </c>
    </row>
    <row r="63" spans="1:21" ht="15" customHeight="1" x14ac:dyDescent="0.25">
      <c r="B63" s="42"/>
      <c r="C63" s="43" t="str">
        <f>A$4</f>
        <v>Mayor</v>
      </c>
      <c r="D63" s="44">
        <f>SUMIFS('Journal de travail'!$D$4:$D$10001,'Journal de travail'!$B$4:$B$10001,D$5,'Journal de travail'!$C$4:$C$10001,$B62)</f>
        <v>0</v>
      </c>
      <c r="E63" s="45"/>
      <c r="F63" s="44">
        <f>SUMIFS('Journal de travail'!$D$4:$D$10001,'Journal de travail'!$B$4:$B$10001,F$5,'Journal de travail'!$C$4:$C$10001,$B62)</f>
        <v>0</v>
      </c>
      <c r="G63" s="45"/>
      <c r="H63" s="44">
        <f>SUMIFS('Journal de travail'!$D$4:$D$10001,'Journal de travail'!$B$4:$B$10001,H$5,'Journal de travail'!$C$4:$C$10001,$B62)</f>
        <v>0</v>
      </c>
      <c r="I63" s="46"/>
      <c r="J63" s="44">
        <f>SUMIFS('Journal de travail'!$D$4:$D$10001,'Journal de travail'!$B$4:$B$10001,J$5,'Journal de travail'!$C$4:$C$10001,$B62)</f>
        <v>0</v>
      </c>
      <c r="K63" s="46"/>
      <c r="L63" s="44">
        <f>SUMIFS('Journal de travail'!$D$4:$D$10001,'Journal de travail'!$B$4:$B$10001,L$5,'Journal de travail'!$C$4:$C$10001,$B62)</f>
        <v>0</v>
      </c>
      <c r="M63" s="45"/>
      <c r="N63" s="44">
        <f>SUMIFS('Journal de travail'!$D$4:$D$10001,'Journal de travail'!$B$4:$B$10001,N$5,'Journal de travail'!$C$4:$C$10001,$B62)</f>
        <v>0</v>
      </c>
      <c r="O63" s="45"/>
      <c r="P63" s="44">
        <f>SUMIFS('Journal de travail'!$D$4:$D$10001,'Journal de travail'!$B$4:$B$10001,P$5,'Journal de travail'!$C$4:$C$10001,$B62)</f>
        <v>0</v>
      </c>
      <c r="Q63" s="45"/>
      <c r="R63" s="44">
        <f>SUMIFS('Journal de travail'!$D$4:$D$10001,'Journal de travail'!$B$4:$B$10001,R$5,'Journal de travail'!$C$4:$C$10001,$B62)</f>
        <v>0</v>
      </c>
      <c r="S63" s="45"/>
      <c r="T63" s="44">
        <f>SUMIFS('Journal de travail'!$D$4:$D$10001,'Journal de travail'!$B$4:$B$10001,T$5,'Journal de travail'!$C$4:$C$10001,$B62)</f>
        <v>0</v>
      </c>
      <c r="U63" s="47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38" t="str">
        <f>A$3</f>
        <v>Prévu</v>
      </c>
      <c r="D64" s="69"/>
      <c r="E64" s="39"/>
      <c r="F64" s="69"/>
      <c r="G64" s="39"/>
      <c r="H64" s="69"/>
      <c r="I64" s="40"/>
      <c r="J64" s="70"/>
      <c r="K64" s="40"/>
      <c r="M64" s="39"/>
      <c r="N64" s="71">
        <v>3.125E-2</v>
      </c>
      <c r="O64" s="39"/>
      <c r="P64" s="71"/>
      <c r="Q64" s="39"/>
      <c r="R64" s="71"/>
      <c r="S64" s="39"/>
      <c r="T64" s="71"/>
      <c r="U64" s="63">
        <f t="shared" si="21"/>
        <v>3.125E-2</v>
      </c>
    </row>
    <row r="65" spans="1:21" ht="15" customHeight="1" x14ac:dyDescent="0.25">
      <c r="B65" s="42"/>
      <c r="C65" s="43" t="str">
        <f>A$4</f>
        <v>Mayor</v>
      </c>
      <c r="D65" s="44">
        <f>SUMIFS('Journal de travail'!$D$4:$D$10001,'Journal de travail'!$B$4:$B$10001,D$5,'Journal de travail'!$C$4:$C$10001,$B64)</f>
        <v>0</v>
      </c>
      <c r="E65" s="45"/>
      <c r="F65" s="44">
        <f>SUMIFS('Journal de travail'!$D$4:$D$10001,'Journal de travail'!$B$4:$B$10001,F$5,'Journal de travail'!$C$4:$C$10001,$B64)</f>
        <v>0</v>
      </c>
      <c r="G65" s="45"/>
      <c r="H65" s="44">
        <f>SUMIFS('Journal de travail'!$D$4:$D$10001,'Journal de travail'!$B$4:$B$10001,H$5,'Journal de travail'!$C$4:$C$10001,$B64)</f>
        <v>0</v>
      </c>
      <c r="I65" s="46"/>
      <c r="J65" s="44">
        <f>SUMIFS('Journal de travail'!$D$4:$D$10001,'Journal de travail'!$B$4:$B$10001,J$5,'Journal de travail'!$C$4:$C$10001,$B64)</f>
        <v>0</v>
      </c>
      <c r="K65" s="46"/>
      <c r="L65" s="44">
        <f>SUMIFS('Journal de travail'!$D$4:$D$10001,'Journal de travail'!$B$4:$B$10001,L$5,'Journal de travail'!$C$4:$C$10001,$B64)</f>
        <v>0</v>
      </c>
      <c r="M65" s="45"/>
      <c r="N65" s="44">
        <f>SUMIFS('Journal de travail'!$D$4:$D$10001,'Journal de travail'!$B$4:$B$10001,N$5,'Journal de travail'!$C$4:$C$10001,$B64)</f>
        <v>0</v>
      </c>
      <c r="O65" s="45"/>
      <c r="P65" s="44">
        <f>SUMIFS('Journal de travail'!$D$4:$D$10001,'Journal de travail'!$B$4:$B$10001,P$5,'Journal de travail'!$C$4:$C$10001,$B64)</f>
        <v>0</v>
      </c>
      <c r="Q65" s="45"/>
      <c r="R65" s="44">
        <f>SUMIFS('Journal de travail'!$D$4:$D$10001,'Journal de travail'!$B$4:$B$10001,R$5,'Journal de travail'!$C$4:$C$10001,$B64)</f>
        <v>0</v>
      </c>
      <c r="S65" s="45"/>
      <c r="T65" s="44">
        <f>SUMIFS('Journal de travail'!$D$4:$D$10001,'Journal de travail'!$B$4:$B$10001,T$5,'Journal de travail'!$C$4:$C$10001,$B64)</f>
        <v>0</v>
      </c>
      <c r="U65" s="47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38" t="str">
        <f t="shared" ref="C66" si="22">A$3</f>
        <v>Prévu</v>
      </c>
      <c r="D66" s="69"/>
      <c r="E66" s="39"/>
      <c r="F66" s="69"/>
      <c r="G66" s="39"/>
      <c r="H66" s="69"/>
      <c r="I66" s="40"/>
      <c r="J66" s="70"/>
      <c r="K66" s="40"/>
      <c r="L66" s="71"/>
      <c r="M66" s="39"/>
      <c r="N66" s="70">
        <v>3.125E-2</v>
      </c>
      <c r="O66" s="39"/>
      <c r="P66" s="71"/>
      <c r="Q66" s="39"/>
      <c r="R66" s="71"/>
      <c r="S66" s="39"/>
      <c r="T66" s="71"/>
      <c r="U66" s="63">
        <f t="shared" ref="U66:U71" si="23">IF(SUM(D66:T66)=0,"",SUM(D66:T66))</f>
        <v>3.125E-2</v>
      </c>
    </row>
    <row r="67" spans="1:21" ht="15" customHeight="1" x14ac:dyDescent="0.25">
      <c r="B67" s="42"/>
      <c r="C67" s="43" t="str">
        <f t="shared" ref="C67" si="24">A$4</f>
        <v>Mayor</v>
      </c>
      <c r="D67" s="44">
        <f>SUMIFS('Journal de travail'!$D$4:$D$10001,'Journal de travail'!$B$4:$B$10001,D$5,'Journal de travail'!$C$4:$C$10001,$B66)</f>
        <v>0</v>
      </c>
      <c r="E67" s="45"/>
      <c r="F67" s="44">
        <f>SUMIFS('Journal de travail'!$D$4:$D$10001,'Journal de travail'!$B$4:$B$10001,F$5,'Journal de travail'!$C$4:$C$10001,$B66)</f>
        <v>0</v>
      </c>
      <c r="G67" s="45"/>
      <c r="H67" s="44">
        <f>SUMIFS('Journal de travail'!$D$4:$D$10001,'Journal de travail'!$B$4:$B$10001,H$5,'Journal de travail'!$C$4:$C$10001,$B66)</f>
        <v>0</v>
      </c>
      <c r="I67" s="46"/>
      <c r="J67" s="44">
        <f>SUMIFS('Journal de travail'!$D$4:$D$10001,'Journal de travail'!$B$4:$B$10001,J$5,'Journal de travail'!$C$4:$C$10001,$B66)</f>
        <v>0</v>
      </c>
      <c r="K67" s="46"/>
      <c r="L67" s="44">
        <f>SUMIFS('Journal de travail'!$D$4:$D$10001,'Journal de travail'!$B$4:$B$10001,L$5,'Journal de travail'!$C$4:$C$10001,$B66)</f>
        <v>0</v>
      </c>
      <c r="M67" s="45"/>
      <c r="N67" s="44">
        <f>SUMIFS('Journal de travail'!$D$4:$D$10001,'Journal de travail'!$B$4:$B$10001,N$5,'Journal de travail'!$C$4:$C$10001,$B66)</f>
        <v>0</v>
      </c>
      <c r="O67" s="45"/>
      <c r="P67" s="44">
        <f>SUMIFS('Journal de travail'!$D$4:$D$10001,'Journal de travail'!$B$4:$B$10001,P$5,'Journal de travail'!$C$4:$C$10001,$B66)</f>
        <v>0</v>
      </c>
      <c r="Q67" s="45"/>
      <c r="R67" s="44">
        <f>SUMIFS('Journal de travail'!$D$4:$D$10001,'Journal de travail'!$B$4:$B$10001,R$5,'Journal de travail'!$C$4:$C$10001,$B66)</f>
        <v>0</v>
      </c>
      <c r="S67" s="45"/>
      <c r="T67" s="44">
        <f>SUMIFS('Journal de travail'!$D$4:$D$10001,'Journal de travail'!$B$4:$B$10001,T$5,'Journal de travail'!$C$4:$C$10001,$B66)</f>
        <v>0</v>
      </c>
      <c r="U67" s="47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38" t="str">
        <f t="shared" ref="C68" si="25">A$3</f>
        <v>Prévu</v>
      </c>
      <c r="D68" s="69"/>
      <c r="E68" s="39"/>
      <c r="F68" s="69"/>
      <c r="G68" s="39"/>
      <c r="H68" s="69"/>
      <c r="I68" s="40"/>
      <c r="J68" s="70"/>
      <c r="K68" s="40"/>
      <c r="L68" s="71"/>
      <c r="M68" s="39"/>
      <c r="N68" s="70">
        <v>3.125E-2</v>
      </c>
      <c r="O68" s="39"/>
      <c r="Q68" s="39"/>
      <c r="R68" s="71"/>
      <c r="S68" s="39"/>
      <c r="T68" s="71"/>
      <c r="U68" s="63">
        <f t="shared" si="23"/>
        <v>3.125E-2</v>
      </c>
    </row>
    <row r="69" spans="1:21" ht="15" customHeight="1" x14ac:dyDescent="0.25">
      <c r="B69" s="42"/>
      <c r="C69" s="43" t="str">
        <f t="shared" ref="C69" si="26">A$4</f>
        <v>Mayor</v>
      </c>
      <c r="D69" s="44">
        <f>SUMIFS('Journal de travail'!$D$4:$D$10001,'Journal de travail'!$B$4:$B$10001,D$5,'Journal de travail'!$C$4:$C$10001,$B68)</f>
        <v>0</v>
      </c>
      <c r="E69" s="45"/>
      <c r="F69" s="44">
        <f>SUMIFS('Journal de travail'!$D$4:$D$10001,'Journal de travail'!$B$4:$B$10001,F$5,'Journal de travail'!$C$4:$C$10001,$B68)</f>
        <v>0</v>
      </c>
      <c r="G69" s="45"/>
      <c r="H69" s="44">
        <f>SUMIFS('Journal de travail'!$D$4:$D$10001,'Journal de travail'!$B$4:$B$10001,H$5,'Journal de travail'!$C$4:$C$10001,$B68)</f>
        <v>0</v>
      </c>
      <c r="I69" s="46"/>
      <c r="J69" s="44">
        <f>SUMIFS('Journal de travail'!$D$4:$D$10001,'Journal de travail'!$B$4:$B$10001,J$5,'Journal de travail'!$C$4:$C$10001,$B68)</f>
        <v>0</v>
      </c>
      <c r="K69" s="46"/>
      <c r="L69" s="44">
        <f>SUMIFS('Journal de travail'!$D$4:$D$10001,'Journal de travail'!$B$4:$B$10001,L$5,'Journal de travail'!$C$4:$C$10001,$B68)</f>
        <v>0</v>
      </c>
      <c r="M69" s="45"/>
      <c r="N69" s="44">
        <f>SUMIFS('Journal de travail'!$D$4:$D$10001,'Journal de travail'!$B$4:$B$10001,N$5,'Journal de travail'!$C$4:$C$10001,$B68)</f>
        <v>0</v>
      </c>
      <c r="O69" s="45"/>
      <c r="P69" s="44">
        <f>SUMIFS('Journal de travail'!$D$4:$D$10001,'Journal de travail'!$B$4:$B$10001,P$5,'Journal de travail'!$C$4:$C$10001,$B68)</f>
        <v>0</v>
      </c>
      <c r="Q69" s="45"/>
      <c r="R69" s="44">
        <f>SUMIFS('Journal de travail'!$D$4:$D$10001,'Journal de travail'!$B$4:$B$10001,R$5,'Journal de travail'!$C$4:$C$10001,$B68)</f>
        <v>0</v>
      </c>
      <c r="S69" s="45"/>
      <c r="T69" s="44">
        <f>SUMIFS('Journal de travail'!$D$4:$D$10001,'Journal de travail'!$B$4:$B$10001,T$5,'Journal de travail'!$C$4:$C$10001,$B68)</f>
        <v>0</v>
      </c>
      <c r="U69" s="47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38" t="str">
        <f t="shared" ref="C70" si="27">A$3</f>
        <v>Prévu</v>
      </c>
      <c r="D70" s="69"/>
      <c r="E70" s="39"/>
      <c r="F70" s="69"/>
      <c r="G70" s="39"/>
      <c r="H70" s="69"/>
      <c r="I70" s="40"/>
      <c r="J70" s="70"/>
      <c r="K70" s="40"/>
      <c r="L70" s="71"/>
      <c r="M70" s="39"/>
      <c r="O70" s="39"/>
      <c r="P70" s="70">
        <v>3.125E-2</v>
      </c>
      <c r="Q70" s="39"/>
      <c r="R70" s="71"/>
      <c r="S70" s="39"/>
      <c r="T70" s="71"/>
      <c r="U70" s="63">
        <f t="shared" si="23"/>
        <v>3.125E-2</v>
      </c>
    </row>
    <row r="71" spans="1:21" ht="15" customHeight="1" thickBot="1" x14ac:dyDescent="0.3">
      <c r="B71" s="42"/>
      <c r="C71" s="43" t="str">
        <f t="shared" ref="C71" si="28">A$4</f>
        <v>Mayor</v>
      </c>
      <c r="D71" s="44">
        <f>SUMIFS('Journal de travail'!$D$4:$D$10001,'Journal de travail'!$B$4:$B$10001,D$5,'Journal de travail'!$C$4:$C$10001,$B70)</f>
        <v>0</v>
      </c>
      <c r="E71" s="45"/>
      <c r="F71" s="44">
        <f>SUMIFS('Journal de travail'!$D$4:$D$10001,'Journal de travail'!$B$4:$B$10001,F$5,'Journal de travail'!$C$4:$C$10001,$B70)</f>
        <v>0</v>
      </c>
      <c r="G71" s="45"/>
      <c r="H71" s="44">
        <f>SUMIFS('Journal de travail'!$D$4:$D$10001,'Journal de travail'!$B$4:$B$10001,H$5,'Journal de travail'!$C$4:$C$10001,$B70)</f>
        <v>0</v>
      </c>
      <c r="I71" s="46"/>
      <c r="J71" s="44">
        <f>SUMIFS('Journal de travail'!$D$4:$D$10001,'Journal de travail'!$B$4:$B$10001,J$5,'Journal de travail'!$C$4:$C$10001,$B70)</f>
        <v>0</v>
      </c>
      <c r="K71" s="46"/>
      <c r="L71" s="44">
        <f>SUMIFS('Journal de travail'!$D$4:$D$10001,'Journal de travail'!$B$4:$B$10001,L$5,'Journal de travail'!$C$4:$C$10001,$B70)</f>
        <v>0</v>
      </c>
      <c r="M71" s="45"/>
      <c r="N71" s="44">
        <f>SUMIFS('Journal de travail'!$D$4:$D$10001,'Journal de travail'!$B$4:$B$10001,N$5,'Journal de travail'!$C$4:$C$10001,$B70)</f>
        <v>0</v>
      </c>
      <c r="O71" s="45"/>
      <c r="P71" s="44">
        <f>SUMIFS('Journal de travail'!$D$4:$D$10001,'Journal de travail'!$B$4:$B$10001,P$5,'Journal de travail'!$C$4:$C$10001,$B70)</f>
        <v>0</v>
      </c>
      <c r="Q71" s="45"/>
      <c r="R71" s="44">
        <f>SUMIFS('Journal de travail'!$D$4:$D$10001,'Journal de travail'!$B$4:$B$10001,R$5,'Journal de travail'!$C$4:$C$10001,$B70)</f>
        <v>0</v>
      </c>
      <c r="S71" s="45"/>
      <c r="T71" s="44">
        <f>SUMIFS('Journal de travail'!$D$4:$D$10001,'Journal de travail'!$B$4:$B$10001,T$5,'Journal de travail'!$C$4:$C$10001,$B70)</f>
        <v>0</v>
      </c>
      <c r="U71" s="47" t="str">
        <f t="shared" si="23"/>
        <v/>
      </c>
    </row>
    <row r="72" spans="1:21" ht="20.25" x14ac:dyDescent="0.25">
      <c r="A72" s="12" t="str">
        <f>Base!F33</f>
        <v>5 Administratif &amp; autres</v>
      </c>
      <c r="B72" s="64"/>
      <c r="C72" s="64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33">
        <f>SUMIF($C74:$C77,$C74,U74:U77)</f>
        <v>1.21875</v>
      </c>
    </row>
    <row r="73" spans="1:21" ht="15" customHeight="1" thickBot="1" x14ac:dyDescent="0.3">
      <c r="A73" s="66"/>
      <c r="B73" s="67"/>
      <c r="C73" s="67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37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38" t="str">
        <f>A$3</f>
        <v>Prévu</v>
      </c>
      <c r="D74" s="69">
        <v>0.16666666666666666</v>
      </c>
      <c r="E74" s="39"/>
      <c r="F74" s="69">
        <v>8.3333333333333329E-2</v>
      </c>
      <c r="G74" s="39"/>
      <c r="H74" s="69">
        <v>8.3333333333333329E-2</v>
      </c>
      <c r="I74" s="40"/>
      <c r="J74" s="70">
        <v>8.3333333333333329E-2</v>
      </c>
      <c r="K74" s="40"/>
      <c r="L74" s="71">
        <v>7.2916666666666671E-2</v>
      </c>
      <c r="M74" s="39"/>
      <c r="N74" s="70">
        <v>9.375E-2</v>
      </c>
      <c r="O74" s="39"/>
      <c r="P74" s="71">
        <v>0.26041666666666669</v>
      </c>
      <c r="Q74" s="39"/>
      <c r="R74" s="71">
        <v>0.16666666666666666</v>
      </c>
      <c r="S74" s="39"/>
      <c r="T74" s="71"/>
      <c r="U74" s="41">
        <f>IF(SUM(E74:T74)=0,"",SUM(D74:T74))</f>
        <v>1.0104166666666667</v>
      </c>
    </row>
    <row r="75" spans="1:21" ht="15" customHeight="1" thickBot="1" x14ac:dyDescent="0.3">
      <c r="B75" s="42"/>
      <c r="C75" s="43" t="str">
        <f>A$4</f>
        <v>Mayor</v>
      </c>
      <c r="D75" s="44">
        <f>SUMIFS('Journal de travail'!$D$4:$D$10001,'Journal de travail'!$B$4:$B$10001,D$5,'Journal de travail'!$C$4:$C$10001,$B74)</f>
        <v>0</v>
      </c>
      <c r="E75" s="45"/>
      <c r="F75" s="44">
        <f>SUMIFS('Journal de travail'!$D$4:$D$10001,'Journal de travail'!$B$4:$B$10001,F$5,'Journal de travail'!$C$4:$C$10001,$B74)</f>
        <v>0</v>
      </c>
      <c r="G75" s="45"/>
      <c r="H75" s="44">
        <f>SUMIFS('Journal de travail'!$D$4:$D$10001,'Journal de travail'!$B$4:$B$10001,H$5,'Journal de travail'!$C$4:$C$10001,$B74)</f>
        <v>0</v>
      </c>
      <c r="I75" s="46"/>
      <c r="J75" s="44">
        <f>SUMIFS('Journal de travail'!$D$4:$D$10001,'Journal de travail'!$B$4:$B$10001,J$5,'Journal de travail'!$C$4:$C$10001,$B74)</f>
        <v>0</v>
      </c>
      <c r="K75" s="46"/>
      <c r="L75" s="44">
        <f>SUMIFS('Journal de travail'!$D$4:$D$10001,'Journal de travail'!$B$4:$B$10001,L$5,'Journal de travail'!$C$4:$C$10001,$B74)</f>
        <v>0</v>
      </c>
      <c r="M75" s="45"/>
      <c r="N75" s="44">
        <f>SUMIFS('Journal de travail'!$D$4:$D$10001,'Journal de travail'!$B$4:$B$10001,N$5,'Journal de travail'!$C$4:$C$10001,$B74)</f>
        <v>0</v>
      </c>
      <c r="O75" s="45"/>
      <c r="P75" s="44">
        <f>SUMIFS('Journal de travail'!$D$4:$D$10001,'Journal de travail'!$B$4:$B$10001,P$5,'Journal de travail'!$C$4:$C$10001,$B74)</f>
        <v>0</v>
      </c>
      <c r="Q75" s="45"/>
      <c r="R75" s="44">
        <f>SUMIFS('Journal de travail'!$D$4:$D$10001,'Journal de travail'!$B$4:$B$10001,R$5,'Journal de travail'!$C$4:$C$10001,$B74)</f>
        <v>0</v>
      </c>
      <c r="S75" s="45"/>
      <c r="T75" s="44">
        <f>SUMIFS('Journal de travail'!$D$4:$D$10001,'Journal de travail'!$B$4:$B$10001,T$5,'Journal de travail'!$C$4:$C$10001,$B74)</f>
        <v>0</v>
      </c>
      <c r="U75" s="47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38" t="str">
        <f>A$3</f>
        <v>Prévu</v>
      </c>
      <c r="D76" s="69"/>
      <c r="E76" s="39"/>
      <c r="F76" s="69"/>
      <c r="G76" s="39"/>
      <c r="H76" s="69"/>
      <c r="I76" s="40"/>
      <c r="J76" s="70"/>
      <c r="K76" s="40"/>
      <c r="L76" s="71"/>
      <c r="M76" s="39"/>
      <c r="N76" s="70"/>
      <c r="O76" s="39"/>
      <c r="P76" s="71"/>
      <c r="Q76" s="39"/>
      <c r="R76" s="71">
        <v>0.20833333333333334</v>
      </c>
      <c r="S76" s="39"/>
      <c r="T76" s="71"/>
      <c r="U76" s="41">
        <f>IF(SUM(E76:T76)=0,"",SUM(E76:T76))</f>
        <v>0.20833333333333334</v>
      </c>
    </row>
    <row r="77" spans="1:21" ht="15" customHeight="1" x14ac:dyDescent="0.25">
      <c r="B77" s="42"/>
      <c r="C77" s="43" t="str">
        <f>A$4</f>
        <v>Mayor</v>
      </c>
      <c r="D77" s="44">
        <f>SUMIFS('Journal de travail'!$D$4:$D$10001,'Journal de travail'!$B$4:$B$10001,D$5,'Journal de travail'!$C$4:$C$10001,$B76)</f>
        <v>0</v>
      </c>
      <c r="E77" s="45"/>
      <c r="F77" s="44">
        <f>SUMIFS('Journal de travail'!$D$4:$D$10001,'Journal de travail'!$B$4:$B$10001,F$5,'Journal de travail'!$C$4:$C$10001,$B76)</f>
        <v>0</v>
      </c>
      <c r="G77" s="45"/>
      <c r="H77" s="44">
        <f>SUMIFS('Journal de travail'!$D$4:$D$10001,'Journal de travail'!$B$4:$B$10001,H$5,'Journal de travail'!$C$4:$C$10001,$B76)</f>
        <v>0</v>
      </c>
      <c r="I77" s="46"/>
      <c r="J77" s="44">
        <f>SUMIFS('Journal de travail'!$D$4:$D$10001,'Journal de travail'!$B$4:$B$10001,J$5,'Journal de travail'!$C$4:$C$10001,$B76)</f>
        <v>0</v>
      </c>
      <c r="K77" s="46"/>
      <c r="L77" s="44">
        <f>SUMIFS('Journal de travail'!$D$4:$D$10001,'Journal de travail'!$B$4:$B$10001,L$5,'Journal de travail'!$C$4:$C$10001,$B76)</f>
        <v>0</v>
      </c>
      <c r="M77" s="45"/>
      <c r="N77" s="44">
        <f>SUMIFS('Journal de travail'!$D$4:$D$10001,'Journal de travail'!$B$4:$B$10001,N$5,'Journal de travail'!$C$4:$C$10001,$B76)</f>
        <v>0</v>
      </c>
      <c r="O77" s="45"/>
      <c r="P77" s="44">
        <f>SUMIFS('Journal de travail'!$D$4:$D$10001,'Journal de travail'!$B$4:$B$10001,P$5,'Journal de travail'!$C$4:$C$10001,$B76)</f>
        <v>0</v>
      </c>
      <c r="Q77" s="45"/>
      <c r="R77" s="44">
        <f>SUMIFS('Journal de travail'!$D$4:$D$10001,'Journal de travail'!$B$4:$B$10001,R$5,'Journal de travail'!$C$4:$C$10001,$B76)</f>
        <v>0</v>
      </c>
      <c r="S77" s="45"/>
      <c r="T77" s="44">
        <f>SUMIFS('Journal de travail'!$D$4:$D$10001,'Journal de travail'!$B$4:$B$10001,T$5,'Journal de travail'!$C$4:$C$10001,$B76)</f>
        <v>0</v>
      </c>
      <c r="U77" s="47" t="str">
        <f t="shared" ref="U77" si="29">IF(SUM(D77:T77)=0,"",SUM(D77:T77))</f>
        <v/>
      </c>
    </row>
  </sheetData>
  <sheetProtection selectLockedCells="1"/>
  <conditionalFormatting sqref="B3">
    <cfRule type="colorScale" priority="11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0" priority="1182" stopIfTrue="1" operator="greaterThan">
      <formula>0</formula>
    </cfRule>
  </conditionalFormatting>
  <conditionalFormatting sqref="D3">
    <cfRule type="colorScale" priority="109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39" priority="1093" stopIfTrue="1" operator="greaterThan">
      <formula>0</formula>
    </cfRule>
  </conditionalFormatting>
  <conditionalFormatting sqref="D8:T8 D14:T14 D58:I58 K58:T58 D38:I38 K38:T38 D44:K44 M44:T44 D46:K46 M46:T46 D64:K64 M64:T64 O62:T62 D62:M62 D50:M50 O50:T50 Q68:T68 D68:O68 D70:M70 O70:T70">
    <cfRule type="cellIs" dxfId="38" priority="585" operator="greaterThan">
      <formula>0</formula>
    </cfRule>
  </conditionalFormatting>
  <conditionalFormatting sqref="D9:T9 D11:T11 D13:T13 D15:T15">
    <cfRule type="cellIs" dxfId="37" priority="573" operator="greaterThan">
      <formula>0</formula>
    </cfRule>
  </conditionalFormatting>
  <conditionalFormatting sqref="F3">
    <cfRule type="colorScale" priority="3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36" priority="363" stopIfTrue="1" operator="greaterThan">
      <formula>0</formula>
    </cfRule>
  </conditionalFormatting>
  <conditionalFormatting sqref="H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5" priority="360" stopIfTrue="1" operator="greaterThan">
      <formula>0</formula>
    </cfRule>
  </conditionalFormatting>
  <conditionalFormatting sqref="J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4" priority="357" stopIfTrue="1" operator="greaterThan">
      <formula>0</formula>
    </cfRule>
  </conditionalFormatting>
  <conditionalFormatting sqref="L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3" priority="354" stopIfTrue="1" operator="greaterThan">
      <formula>0</formula>
    </cfRule>
  </conditionalFormatting>
  <conditionalFormatting sqref="N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2" priority="351" stopIfTrue="1" operator="greaterThan">
      <formula>0</formula>
    </cfRule>
  </conditionalFormatting>
  <conditionalFormatting sqref="P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1" priority="348" stopIfTrue="1" operator="greaterThan">
      <formula>0</formula>
    </cfRule>
  </conditionalFormatting>
  <conditionalFormatting sqref="R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0" priority="345" stopIfTrue="1" operator="greaterThan">
      <formula>0</formula>
    </cfRule>
  </conditionalFormatting>
  <conditionalFormatting sqref="T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29" priority="342" stopIfTrue="1" operator="greaterThan">
      <formula>0</formula>
    </cfRule>
  </conditionalFormatting>
  <conditionalFormatting sqref="U8 U10 U12 U14">
    <cfRule type="cellIs" dxfId="28" priority="157" operator="greaterThan">
      <formula>0</formula>
    </cfRule>
  </conditionalFormatting>
  <conditionalFormatting sqref="U9 U11 U13 U15">
    <cfRule type="cellIs" dxfId="27" priority="156" operator="greaterThan">
      <formula>0</formula>
    </cfRule>
  </conditionalFormatting>
  <conditionalFormatting sqref="U64 U66 U68 U70">
    <cfRule type="cellIs" dxfId="26" priority="131" operator="greaterThan">
      <formula>0</formula>
    </cfRule>
  </conditionalFormatting>
  <conditionalFormatting sqref="U76 U74 U62 U60 U58 U56 U54 U42 U40 U38 U36 U34 U32 U28 U26 U24 U22 U20 U18 U44 U46 U48 U50">
    <cfRule type="cellIs" dxfId="25" priority="105" operator="greaterThan">
      <formula>0</formula>
    </cfRule>
  </conditionalFormatting>
  <conditionalFormatting sqref="U77 U75 U65 U63 U61 U59 U57 U55 U43 U41 U39 U37 U35 U33 U29 U27 U25 U23 U21 U19 U45 U47 U49 U51 U67 U69 U71">
    <cfRule type="cellIs" dxfId="24" priority="104" operator="greaterThan">
      <formula>0</formula>
    </cfRule>
  </conditionalFormatting>
  <conditionalFormatting sqref="D10:T10">
    <cfRule type="cellIs" dxfId="23" priority="54" operator="greaterThan">
      <formula>0</formula>
    </cfRule>
  </conditionalFormatting>
  <conditionalFormatting sqref="D12:T12">
    <cfRule type="cellIs" dxfId="22" priority="53" operator="greaterThan">
      <formula>0</formula>
    </cfRule>
  </conditionalFormatting>
  <conditionalFormatting sqref="D18:T18 D24:T24 D28:T28">
    <cfRule type="cellIs" dxfId="21" priority="27" operator="greaterThan">
      <formula>0</formula>
    </cfRule>
  </conditionalFormatting>
  <conditionalFormatting sqref="D19:T19 D21:T21 D23:T23 D25:T25 D29:T29">
    <cfRule type="cellIs" dxfId="20" priority="26" operator="greaterThan">
      <formula>0</formula>
    </cfRule>
  </conditionalFormatting>
  <conditionalFormatting sqref="D27:T27">
    <cfRule type="cellIs" dxfId="19" priority="25" operator="greaterThan">
      <formula>0</formula>
    </cfRule>
  </conditionalFormatting>
  <conditionalFormatting sqref="D20:T20">
    <cfRule type="cellIs" dxfId="18" priority="24" operator="greaterThan">
      <formula>0</formula>
    </cfRule>
  </conditionalFormatting>
  <conditionalFormatting sqref="D22:T22">
    <cfRule type="cellIs" dxfId="17" priority="23" operator="greaterThan">
      <formula>0</formula>
    </cfRule>
  </conditionalFormatting>
  <conditionalFormatting sqref="D26:T26">
    <cfRule type="cellIs" dxfId="16" priority="22" operator="greaterThan">
      <formula>0</formula>
    </cfRule>
  </conditionalFormatting>
  <conditionalFormatting sqref="D32:T32 D42:T42 D48:T48">
    <cfRule type="cellIs" dxfId="15" priority="21" operator="greaterThan">
      <formula>0</formula>
    </cfRule>
  </conditionalFormatting>
  <conditionalFormatting sqref="D33:T33 D35:T35 D37:T37 D39:T39 D43:T43 D45:T45 D47:T47 D49:T49 D51:T51">
    <cfRule type="cellIs" dxfId="14" priority="20" operator="greaterThan">
      <formula>0</formula>
    </cfRule>
  </conditionalFormatting>
  <conditionalFormatting sqref="D41:T41">
    <cfRule type="cellIs" dxfId="13" priority="19" operator="greaterThan">
      <formula>0</formula>
    </cfRule>
  </conditionalFormatting>
  <conditionalFormatting sqref="D34:I34 K34:T34">
    <cfRule type="cellIs" dxfId="12" priority="18" operator="greaterThan">
      <formula>0</formula>
    </cfRule>
  </conditionalFormatting>
  <conditionalFormatting sqref="D36:I36 K36:T36">
    <cfRule type="cellIs" dxfId="11" priority="17" operator="greaterThan">
      <formula>0</formula>
    </cfRule>
  </conditionalFormatting>
  <conditionalFormatting sqref="D40:K40 M40:T40">
    <cfRule type="cellIs" dxfId="10" priority="16" operator="greaterThan">
      <formula>0</formula>
    </cfRule>
  </conditionalFormatting>
  <conditionalFormatting sqref="D54:T54 D60:T60 D66:T66">
    <cfRule type="cellIs" dxfId="9" priority="15" operator="greaterThan">
      <formula>0</formula>
    </cfRule>
  </conditionalFormatting>
  <conditionalFormatting sqref="D55:T55 D57:T57 D59:T59 D61:T61 D65:T65 D67:T67 D69:T69 D71:T71">
    <cfRule type="cellIs" dxfId="8" priority="14" operator="greaterThan">
      <formula>0</formula>
    </cfRule>
  </conditionalFormatting>
  <conditionalFormatting sqref="D63:T63">
    <cfRule type="cellIs" dxfId="7" priority="13" operator="greaterThan">
      <formula>0</formula>
    </cfRule>
  </conditionalFormatting>
  <conditionalFormatting sqref="D56:T56">
    <cfRule type="cellIs" dxfId="6" priority="12" operator="greaterThan">
      <formula>0</formula>
    </cfRule>
  </conditionalFormatting>
  <conditionalFormatting sqref="D74:T74">
    <cfRule type="cellIs" dxfId="5" priority="9" operator="greaterThan">
      <formula>0</formula>
    </cfRule>
  </conditionalFormatting>
  <conditionalFormatting sqref="D75:T75 D77:T77">
    <cfRule type="cellIs" dxfId="4" priority="8" operator="greaterThan">
      <formula>0</formula>
    </cfRule>
  </conditionalFormatting>
  <conditionalFormatting sqref="D76:T76">
    <cfRule type="cellIs" dxfId="3" priority="6" operator="greaterThan">
      <formula>0</formula>
    </cfRule>
  </conditionalFormatting>
  <conditionalFormatting sqref="J34">
    <cfRule type="cellIs" dxfId="2" priority="3" operator="greaterThan">
      <formula>0</formula>
    </cfRule>
  </conditionalFormatting>
  <conditionalFormatting sqref="J36">
    <cfRule type="cellIs" dxfId="1" priority="2" operator="greaterThan">
      <formula>0</formula>
    </cfRule>
  </conditionalFormatting>
  <conditionalFormatting sqref="L40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C4" sqref="C4"/>
    </sheetView>
  </sheetViews>
  <sheetFormatPr baseColWidth="10" defaultRowHeight="11.25" x14ac:dyDescent="0.2"/>
  <cols>
    <col min="1" max="1" width="8.7109375" style="74" bestFit="1" customWidth="1"/>
    <col min="2" max="2" width="8.42578125" style="74" bestFit="1" customWidth="1"/>
    <col min="3" max="3" width="20.42578125" style="74" bestFit="1" customWidth="1"/>
    <col min="4" max="4" width="10.28515625" style="74" bestFit="1" customWidth="1"/>
    <col min="5" max="5" width="32.7109375" style="74" bestFit="1" customWidth="1"/>
    <col min="6" max="16384" width="11.42578125" style="74"/>
  </cols>
  <sheetData>
    <row r="1" spans="1:5" x14ac:dyDescent="0.2">
      <c r="A1" s="86" t="s">
        <v>7</v>
      </c>
      <c r="B1" s="86"/>
      <c r="C1" s="87" t="str">
        <f>CONCATENATE(Base!C5," ",Base!D5)</f>
        <v>Mayor Damien</v>
      </c>
      <c r="D1" s="88"/>
      <c r="E1" s="89">
        <f ca="1">TODAY()</f>
        <v>44980</v>
      </c>
    </row>
    <row r="2" spans="1:5" x14ac:dyDescent="0.2">
      <c r="A2" s="87" t="s">
        <v>14</v>
      </c>
      <c r="B2" s="88"/>
      <c r="C2" s="88"/>
      <c r="D2" s="88"/>
      <c r="E2" s="90"/>
    </row>
    <row r="3" spans="1:5" x14ac:dyDescent="0.2">
      <c r="A3" s="91" t="s">
        <v>1</v>
      </c>
      <c r="B3" s="91" t="s">
        <v>4</v>
      </c>
      <c r="C3" s="91" t="s">
        <v>8</v>
      </c>
      <c r="D3" s="91" t="s">
        <v>2</v>
      </c>
      <c r="E3" s="92" t="s">
        <v>3</v>
      </c>
    </row>
    <row r="4" spans="1:5" x14ac:dyDescent="0.2">
      <c r="A4" s="93"/>
      <c r="B4" s="94">
        <f>WEEKNUM(A4,1)</f>
        <v>0</v>
      </c>
      <c r="C4" s="95" t="s">
        <v>53</v>
      </c>
      <c r="D4" s="96"/>
      <c r="E4" s="97"/>
    </row>
    <row r="5" spans="1:5" x14ac:dyDescent="0.2">
      <c r="A5" s="93"/>
      <c r="B5" s="94">
        <f>WEEKNUM(A5,1)</f>
        <v>0</v>
      </c>
      <c r="C5" s="95" t="s">
        <v>26</v>
      </c>
      <c r="D5" s="96"/>
      <c r="E5" s="97"/>
    </row>
    <row r="6" spans="1:5" x14ac:dyDescent="0.2">
      <c r="A6" s="93"/>
      <c r="B6" s="94">
        <f>WEEKNUM(A6,1)</f>
        <v>0</v>
      </c>
      <c r="C6" s="95"/>
      <c r="D6" s="96"/>
      <c r="E6" s="97"/>
    </row>
    <row r="7" spans="1:5" x14ac:dyDescent="0.2">
      <c r="A7" s="93"/>
      <c r="B7" s="94">
        <f t="shared" ref="B7:B70" si="0">WEEKNUM(A7,1)</f>
        <v>0</v>
      </c>
      <c r="C7" s="95"/>
      <c r="D7" s="96"/>
      <c r="E7" s="97"/>
    </row>
    <row r="8" spans="1:5" x14ac:dyDescent="0.2">
      <c r="A8" s="93"/>
      <c r="B8" s="94">
        <f t="shared" si="0"/>
        <v>0</v>
      </c>
      <c r="C8" s="95"/>
      <c r="D8" s="96"/>
      <c r="E8" s="97"/>
    </row>
    <row r="9" spans="1:5" x14ac:dyDescent="0.2">
      <c r="A9" s="93"/>
      <c r="B9" s="94">
        <f t="shared" si="0"/>
        <v>0</v>
      </c>
      <c r="C9" s="95"/>
      <c r="D9" s="96"/>
      <c r="E9" s="97"/>
    </row>
    <row r="10" spans="1:5" x14ac:dyDescent="0.2">
      <c r="A10" s="93"/>
      <c r="B10" s="94">
        <f t="shared" si="0"/>
        <v>0</v>
      </c>
      <c r="C10" s="95"/>
      <c r="D10" s="96"/>
      <c r="E10" s="97"/>
    </row>
    <row r="11" spans="1:5" x14ac:dyDescent="0.2">
      <c r="A11" s="93"/>
      <c r="B11" s="94">
        <f t="shared" si="0"/>
        <v>0</v>
      </c>
      <c r="C11" s="95"/>
      <c r="D11" s="96"/>
      <c r="E11" s="97"/>
    </row>
    <row r="12" spans="1:5" x14ac:dyDescent="0.2">
      <c r="A12" s="93"/>
      <c r="B12" s="94">
        <f>WEEKNUM(A12,1)</f>
        <v>0</v>
      </c>
      <c r="C12" s="95"/>
      <c r="D12" s="96"/>
      <c r="E12" s="97"/>
    </row>
    <row r="13" spans="1:5" x14ac:dyDescent="0.2">
      <c r="A13" s="93"/>
      <c r="B13" s="94">
        <f t="shared" ref="B13:B15" si="1">WEEKNUM(A13,1)</f>
        <v>0</v>
      </c>
      <c r="C13" s="95"/>
      <c r="D13" s="96"/>
      <c r="E13" s="97"/>
    </row>
    <row r="14" spans="1:5" x14ac:dyDescent="0.2">
      <c r="A14" s="93"/>
      <c r="B14" s="94">
        <f t="shared" si="1"/>
        <v>0</v>
      </c>
      <c r="C14" s="95"/>
      <c r="D14" s="96"/>
      <c r="E14" s="97"/>
    </row>
    <row r="15" spans="1:5" x14ac:dyDescent="0.2">
      <c r="A15" s="93"/>
      <c r="B15" s="94">
        <f t="shared" si="1"/>
        <v>0</v>
      </c>
      <c r="C15" s="95"/>
      <c r="D15" s="96"/>
      <c r="E15" s="97"/>
    </row>
    <row r="16" spans="1:5" x14ac:dyDescent="0.2">
      <c r="A16" s="93"/>
      <c r="B16" s="94">
        <f t="shared" si="0"/>
        <v>0</v>
      </c>
      <c r="C16" s="95"/>
      <c r="D16" s="96"/>
      <c r="E16" s="97"/>
    </row>
    <row r="17" spans="1:5" x14ac:dyDescent="0.2">
      <c r="A17" s="93"/>
      <c r="B17" s="94">
        <f t="shared" si="0"/>
        <v>0</v>
      </c>
      <c r="C17" s="95"/>
      <c r="D17" s="96"/>
      <c r="E17" s="97"/>
    </row>
    <row r="18" spans="1:5" x14ac:dyDescent="0.2">
      <c r="A18" s="93"/>
      <c r="B18" s="94">
        <f t="shared" si="0"/>
        <v>0</v>
      </c>
      <c r="C18" s="95"/>
      <c r="D18" s="96"/>
      <c r="E18" s="97"/>
    </row>
    <row r="19" spans="1:5" x14ac:dyDescent="0.2">
      <c r="A19" s="93"/>
      <c r="B19" s="94">
        <f t="shared" si="0"/>
        <v>0</v>
      </c>
      <c r="C19" s="95"/>
      <c r="D19" s="96"/>
      <c r="E19" s="97"/>
    </row>
    <row r="20" spans="1:5" x14ac:dyDescent="0.2">
      <c r="A20" s="93"/>
      <c r="B20" s="94">
        <f t="shared" si="0"/>
        <v>0</v>
      </c>
      <c r="C20" s="95"/>
      <c r="D20" s="96"/>
      <c r="E20" s="97"/>
    </row>
    <row r="21" spans="1:5" x14ac:dyDescent="0.2">
      <c r="A21" s="93"/>
      <c r="B21" s="94">
        <f t="shared" si="0"/>
        <v>0</v>
      </c>
      <c r="C21" s="95"/>
      <c r="D21" s="96"/>
      <c r="E21" s="97"/>
    </row>
    <row r="22" spans="1:5" x14ac:dyDescent="0.2">
      <c r="A22" s="93"/>
      <c r="B22" s="94">
        <f t="shared" si="0"/>
        <v>0</v>
      </c>
      <c r="C22" s="95"/>
      <c r="D22" s="96"/>
      <c r="E22" s="97"/>
    </row>
    <row r="23" spans="1:5" x14ac:dyDescent="0.2">
      <c r="A23" s="93"/>
      <c r="B23" s="94">
        <f t="shared" si="0"/>
        <v>0</v>
      </c>
      <c r="C23" s="95"/>
      <c r="D23" s="96"/>
      <c r="E23" s="97"/>
    </row>
    <row r="24" spans="1:5" x14ac:dyDescent="0.2">
      <c r="A24" s="93"/>
      <c r="B24" s="94">
        <f t="shared" si="0"/>
        <v>0</v>
      </c>
      <c r="C24" s="95"/>
      <c r="D24" s="96"/>
      <c r="E24" s="97"/>
    </row>
    <row r="25" spans="1:5" x14ac:dyDescent="0.2">
      <c r="A25" s="93"/>
      <c r="B25" s="94">
        <f t="shared" si="0"/>
        <v>0</v>
      </c>
      <c r="C25" s="95"/>
      <c r="D25" s="96"/>
      <c r="E25" s="97"/>
    </row>
    <row r="26" spans="1:5" x14ac:dyDescent="0.2">
      <c r="A26" s="93"/>
      <c r="B26" s="94">
        <f t="shared" si="0"/>
        <v>0</v>
      </c>
      <c r="C26" s="95"/>
      <c r="D26" s="96"/>
      <c r="E26" s="97"/>
    </row>
    <row r="27" spans="1:5" x14ac:dyDescent="0.2">
      <c r="A27" s="93"/>
      <c r="B27" s="94">
        <f t="shared" si="0"/>
        <v>0</v>
      </c>
      <c r="C27" s="95"/>
      <c r="D27" s="96"/>
      <c r="E27" s="97"/>
    </row>
    <row r="28" spans="1:5" x14ac:dyDescent="0.2">
      <c r="A28" s="93"/>
      <c r="B28" s="94">
        <f t="shared" si="0"/>
        <v>0</v>
      </c>
      <c r="C28" s="95"/>
      <c r="D28" s="96"/>
      <c r="E28" s="97"/>
    </row>
    <row r="29" spans="1:5" x14ac:dyDescent="0.2">
      <c r="A29" s="93"/>
      <c r="B29" s="94">
        <f t="shared" si="0"/>
        <v>0</v>
      </c>
      <c r="C29" s="95"/>
      <c r="D29" s="96"/>
      <c r="E29" s="97"/>
    </row>
    <row r="30" spans="1:5" x14ac:dyDescent="0.2">
      <c r="A30" s="98"/>
      <c r="B30" s="99">
        <f t="shared" si="0"/>
        <v>0</v>
      </c>
      <c r="C30" s="100"/>
      <c r="D30" s="101"/>
      <c r="E30" s="102"/>
    </row>
    <row r="31" spans="1:5" x14ac:dyDescent="0.2">
      <c r="A31" s="98"/>
      <c r="B31" s="99">
        <f t="shared" si="0"/>
        <v>0</v>
      </c>
      <c r="C31" s="100"/>
      <c r="D31" s="101"/>
      <c r="E31" s="102"/>
    </row>
    <row r="32" spans="1:5" x14ac:dyDescent="0.2">
      <c r="A32" s="98"/>
      <c r="B32" s="99">
        <f t="shared" si="0"/>
        <v>0</v>
      </c>
      <c r="C32" s="100"/>
      <c r="D32" s="101"/>
      <c r="E32" s="102"/>
    </row>
    <row r="33" spans="1:5" x14ac:dyDescent="0.2">
      <c r="A33" s="98"/>
      <c r="B33" s="99">
        <f t="shared" si="0"/>
        <v>0</v>
      </c>
      <c r="C33" s="100"/>
      <c r="D33" s="101"/>
      <c r="E33" s="102"/>
    </row>
    <row r="34" spans="1:5" x14ac:dyDescent="0.2">
      <c r="A34" s="98"/>
      <c r="B34" s="99">
        <f t="shared" si="0"/>
        <v>0</v>
      </c>
      <c r="C34" s="100"/>
      <c r="D34" s="101"/>
      <c r="E34" s="102"/>
    </row>
    <row r="35" spans="1:5" x14ac:dyDescent="0.2">
      <c r="A35" s="98"/>
      <c r="B35" s="99">
        <f t="shared" si="0"/>
        <v>0</v>
      </c>
      <c r="C35" s="100"/>
      <c r="D35" s="101"/>
      <c r="E35" s="102"/>
    </row>
    <row r="36" spans="1:5" x14ac:dyDescent="0.2">
      <c r="A36" s="98"/>
      <c r="B36" s="99">
        <f t="shared" si="0"/>
        <v>0</v>
      </c>
      <c r="C36" s="100"/>
      <c r="D36" s="101"/>
      <c r="E36" s="102"/>
    </row>
    <row r="37" spans="1:5" x14ac:dyDescent="0.2">
      <c r="A37" s="98"/>
      <c r="B37" s="99">
        <f t="shared" si="0"/>
        <v>0</v>
      </c>
      <c r="C37" s="100"/>
      <c r="D37" s="101"/>
      <c r="E37" s="102"/>
    </row>
    <row r="38" spans="1:5" x14ac:dyDescent="0.2">
      <c r="A38" s="98"/>
      <c r="B38" s="99">
        <f t="shared" si="0"/>
        <v>0</v>
      </c>
      <c r="C38" s="100"/>
      <c r="D38" s="101"/>
      <c r="E38" s="102"/>
    </row>
    <row r="39" spans="1:5" x14ac:dyDescent="0.2">
      <c r="A39" s="98"/>
      <c r="B39" s="99">
        <f t="shared" si="0"/>
        <v>0</v>
      </c>
      <c r="C39" s="100"/>
      <c r="D39" s="101"/>
      <c r="E39" s="102"/>
    </row>
    <row r="40" spans="1:5" x14ac:dyDescent="0.2">
      <c r="A40" s="98"/>
      <c r="B40" s="99">
        <f t="shared" si="0"/>
        <v>0</v>
      </c>
      <c r="C40" s="100"/>
      <c r="D40" s="101"/>
      <c r="E40" s="102"/>
    </row>
    <row r="41" spans="1:5" x14ac:dyDescent="0.2">
      <c r="A41" s="98"/>
      <c r="B41" s="99">
        <f t="shared" si="0"/>
        <v>0</v>
      </c>
      <c r="C41" s="100"/>
      <c r="D41" s="101"/>
      <c r="E41" s="102"/>
    </row>
    <row r="42" spans="1:5" x14ac:dyDescent="0.2">
      <c r="A42" s="98"/>
      <c r="B42" s="99">
        <f t="shared" si="0"/>
        <v>0</v>
      </c>
      <c r="C42" s="100"/>
      <c r="D42" s="101"/>
      <c r="E42" s="102"/>
    </row>
    <row r="43" spans="1:5" x14ac:dyDescent="0.2">
      <c r="A43" s="98"/>
      <c r="B43" s="99">
        <f t="shared" si="0"/>
        <v>0</v>
      </c>
      <c r="C43" s="100"/>
      <c r="D43" s="101"/>
      <c r="E43" s="102"/>
    </row>
    <row r="44" spans="1:5" x14ac:dyDescent="0.2">
      <c r="A44" s="98"/>
      <c r="B44" s="99">
        <f t="shared" si="0"/>
        <v>0</v>
      </c>
      <c r="C44" s="100"/>
      <c r="D44" s="101"/>
      <c r="E44" s="102"/>
    </row>
    <row r="45" spans="1:5" x14ac:dyDescent="0.2">
      <c r="A45" s="98"/>
      <c r="B45" s="99">
        <f t="shared" si="0"/>
        <v>0</v>
      </c>
      <c r="C45" s="100"/>
      <c r="D45" s="101"/>
      <c r="E45" s="102"/>
    </row>
    <row r="46" spans="1:5" x14ac:dyDescent="0.2">
      <c r="A46" s="98"/>
      <c r="B46" s="99">
        <f t="shared" si="0"/>
        <v>0</v>
      </c>
      <c r="C46" s="100"/>
      <c r="D46" s="101"/>
      <c r="E46" s="102"/>
    </row>
    <row r="47" spans="1:5" x14ac:dyDescent="0.2">
      <c r="A47" s="98"/>
      <c r="B47" s="99">
        <f t="shared" si="0"/>
        <v>0</v>
      </c>
      <c r="C47" s="100"/>
      <c r="D47" s="101"/>
      <c r="E47" s="102"/>
    </row>
    <row r="48" spans="1:5" x14ac:dyDescent="0.2">
      <c r="A48" s="98"/>
      <c r="B48" s="99">
        <f t="shared" si="0"/>
        <v>0</v>
      </c>
      <c r="C48" s="100"/>
      <c r="D48" s="101"/>
      <c r="E48" s="102"/>
    </row>
    <row r="49" spans="1:5" x14ac:dyDescent="0.2">
      <c r="A49" s="98"/>
      <c r="B49" s="99">
        <f t="shared" si="0"/>
        <v>0</v>
      </c>
      <c r="C49" s="100"/>
      <c r="D49" s="101"/>
      <c r="E49" s="102"/>
    </row>
    <row r="50" spans="1:5" x14ac:dyDescent="0.2">
      <c r="A50" s="98"/>
      <c r="B50" s="99">
        <f t="shared" si="0"/>
        <v>0</v>
      </c>
      <c r="C50" s="100"/>
      <c r="D50" s="101"/>
      <c r="E50" s="102"/>
    </row>
    <row r="51" spans="1:5" x14ac:dyDescent="0.2">
      <c r="A51" s="98"/>
      <c r="B51" s="99">
        <f t="shared" si="0"/>
        <v>0</v>
      </c>
      <c r="C51" s="100"/>
      <c r="D51" s="101"/>
      <c r="E51" s="102"/>
    </row>
    <row r="52" spans="1:5" x14ac:dyDescent="0.2">
      <c r="A52" s="98"/>
      <c r="B52" s="99">
        <f t="shared" si="0"/>
        <v>0</v>
      </c>
      <c r="C52" s="100"/>
      <c r="D52" s="101"/>
      <c r="E52" s="102"/>
    </row>
    <row r="53" spans="1:5" x14ac:dyDescent="0.2">
      <c r="A53" s="98"/>
      <c r="B53" s="99">
        <f t="shared" si="0"/>
        <v>0</v>
      </c>
      <c r="C53" s="100"/>
      <c r="D53" s="101"/>
      <c r="E53" s="102"/>
    </row>
    <row r="54" spans="1:5" x14ac:dyDescent="0.2">
      <c r="A54" s="98"/>
      <c r="B54" s="99">
        <f t="shared" si="0"/>
        <v>0</v>
      </c>
      <c r="C54" s="100"/>
      <c r="D54" s="101"/>
      <c r="E54" s="102"/>
    </row>
    <row r="55" spans="1:5" x14ac:dyDescent="0.2">
      <c r="A55" s="98"/>
      <c r="B55" s="99">
        <f t="shared" si="0"/>
        <v>0</v>
      </c>
      <c r="C55" s="100"/>
      <c r="D55" s="101"/>
      <c r="E55" s="102"/>
    </row>
    <row r="56" spans="1:5" x14ac:dyDescent="0.2">
      <c r="A56" s="98"/>
      <c r="B56" s="99">
        <f t="shared" si="0"/>
        <v>0</v>
      </c>
      <c r="C56" s="100"/>
      <c r="D56" s="101"/>
      <c r="E56" s="102"/>
    </row>
    <row r="57" spans="1:5" x14ac:dyDescent="0.2">
      <c r="A57" s="98"/>
      <c r="B57" s="99">
        <f t="shared" si="0"/>
        <v>0</v>
      </c>
      <c r="C57" s="100"/>
      <c r="D57" s="101"/>
      <c r="E57" s="102"/>
    </row>
    <row r="58" spans="1:5" x14ac:dyDescent="0.2">
      <c r="A58" s="98"/>
      <c r="B58" s="99">
        <f t="shared" si="0"/>
        <v>0</v>
      </c>
      <c r="C58" s="100"/>
      <c r="D58" s="101"/>
      <c r="E58" s="102"/>
    </row>
    <row r="59" spans="1:5" x14ac:dyDescent="0.2">
      <c r="A59" s="98"/>
      <c r="B59" s="99">
        <f t="shared" si="0"/>
        <v>0</v>
      </c>
      <c r="C59" s="100"/>
      <c r="D59" s="101"/>
      <c r="E59" s="102"/>
    </row>
    <row r="60" spans="1:5" x14ac:dyDescent="0.2">
      <c r="A60" s="98"/>
      <c r="B60" s="99">
        <f t="shared" si="0"/>
        <v>0</v>
      </c>
      <c r="C60" s="100"/>
      <c r="D60" s="101"/>
      <c r="E60" s="102"/>
    </row>
    <row r="61" spans="1:5" x14ac:dyDescent="0.2">
      <c r="A61" s="98"/>
      <c r="B61" s="99">
        <f t="shared" si="0"/>
        <v>0</v>
      </c>
      <c r="C61" s="100"/>
      <c r="D61" s="101"/>
      <c r="E61" s="102"/>
    </row>
    <row r="62" spans="1:5" x14ac:dyDescent="0.2">
      <c r="A62" s="98"/>
      <c r="B62" s="99">
        <f t="shared" si="0"/>
        <v>0</v>
      </c>
      <c r="C62" s="100"/>
      <c r="D62" s="101"/>
      <c r="E62" s="102"/>
    </row>
    <row r="63" spans="1:5" x14ac:dyDescent="0.2">
      <c r="A63" s="98"/>
      <c r="B63" s="99">
        <f t="shared" si="0"/>
        <v>0</v>
      </c>
      <c r="C63" s="100"/>
      <c r="D63" s="101"/>
      <c r="E63" s="102"/>
    </row>
    <row r="64" spans="1:5" x14ac:dyDescent="0.2">
      <c r="A64" s="98"/>
      <c r="B64" s="99">
        <f t="shared" si="0"/>
        <v>0</v>
      </c>
      <c r="C64" s="100"/>
      <c r="D64" s="101"/>
      <c r="E64" s="102"/>
    </row>
    <row r="65" spans="1:5" x14ac:dyDescent="0.2">
      <c r="A65" s="98"/>
      <c r="B65" s="99">
        <f t="shared" si="0"/>
        <v>0</v>
      </c>
      <c r="C65" s="100"/>
      <c r="D65" s="101"/>
      <c r="E65" s="102"/>
    </row>
    <row r="66" spans="1:5" x14ac:dyDescent="0.2">
      <c r="A66" s="98"/>
      <c r="B66" s="99">
        <f t="shared" si="0"/>
        <v>0</v>
      </c>
      <c r="C66" s="100"/>
      <c r="D66" s="101"/>
      <c r="E66" s="102"/>
    </row>
    <row r="67" spans="1:5" x14ac:dyDescent="0.2">
      <c r="A67" s="98"/>
      <c r="B67" s="99">
        <f t="shared" si="0"/>
        <v>0</v>
      </c>
      <c r="C67" s="100"/>
      <c r="D67" s="101"/>
      <c r="E67" s="102"/>
    </row>
    <row r="68" spans="1:5" x14ac:dyDescent="0.2">
      <c r="A68" s="98"/>
      <c r="B68" s="99">
        <f t="shared" si="0"/>
        <v>0</v>
      </c>
      <c r="C68" s="100"/>
      <c r="D68" s="101"/>
      <c r="E68" s="102"/>
    </row>
    <row r="69" spans="1:5" x14ac:dyDescent="0.2">
      <c r="A69" s="98"/>
      <c r="B69" s="99">
        <f t="shared" si="0"/>
        <v>0</v>
      </c>
      <c r="C69" s="100"/>
      <c r="D69" s="101"/>
      <c r="E69" s="102"/>
    </row>
    <row r="70" spans="1:5" x14ac:dyDescent="0.2">
      <c r="A70" s="98"/>
      <c r="B70" s="99">
        <f t="shared" si="0"/>
        <v>0</v>
      </c>
      <c r="C70" s="100"/>
      <c r="D70" s="101"/>
      <c r="E70" s="102"/>
    </row>
    <row r="71" spans="1:5" x14ac:dyDescent="0.2">
      <c r="A71" s="98"/>
      <c r="B71" s="99">
        <f t="shared" ref="B71:B134" si="2">WEEKNUM(A71,1)</f>
        <v>0</v>
      </c>
      <c r="C71" s="100"/>
      <c r="D71" s="101"/>
      <c r="E71" s="102"/>
    </row>
    <row r="72" spans="1:5" x14ac:dyDescent="0.2">
      <c r="A72" s="98"/>
      <c r="B72" s="99">
        <f t="shared" si="2"/>
        <v>0</v>
      </c>
      <c r="C72" s="100"/>
      <c r="D72" s="101"/>
      <c r="E72" s="102"/>
    </row>
    <row r="73" spans="1:5" x14ac:dyDescent="0.2">
      <c r="A73" s="98"/>
      <c r="B73" s="99">
        <f t="shared" si="2"/>
        <v>0</v>
      </c>
      <c r="C73" s="100"/>
      <c r="D73" s="101"/>
      <c r="E73" s="102"/>
    </row>
    <row r="74" spans="1:5" x14ac:dyDescent="0.2">
      <c r="A74" s="98"/>
      <c r="B74" s="99">
        <f t="shared" si="2"/>
        <v>0</v>
      </c>
      <c r="C74" s="100"/>
      <c r="D74" s="101"/>
      <c r="E74" s="102"/>
    </row>
    <row r="75" spans="1:5" x14ac:dyDescent="0.2">
      <c r="A75" s="98"/>
      <c r="B75" s="99">
        <f t="shared" si="2"/>
        <v>0</v>
      </c>
      <c r="C75" s="100"/>
      <c r="D75" s="101"/>
      <c r="E75" s="102"/>
    </row>
    <row r="76" spans="1:5" x14ac:dyDescent="0.2">
      <c r="A76" s="98"/>
      <c r="B76" s="99">
        <f t="shared" si="2"/>
        <v>0</v>
      </c>
      <c r="C76" s="100"/>
      <c r="D76" s="101"/>
      <c r="E76" s="102"/>
    </row>
    <row r="77" spans="1:5" x14ac:dyDescent="0.2">
      <c r="A77" s="98"/>
      <c r="B77" s="99">
        <f t="shared" si="2"/>
        <v>0</v>
      </c>
      <c r="C77" s="100"/>
      <c r="D77" s="101"/>
      <c r="E77" s="102"/>
    </row>
    <row r="78" spans="1:5" x14ac:dyDescent="0.2">
      <c r="A78" s="98"/>
      <c r="B78" s="99">
        <f t="shared" si="2"/>
        <v>0</v>
      </c>
      <c r="C78" s="100"/>
      <c r="D78" s="101"/>
      <c r="E78" s="102"/>
    </row>
    <row r="79" spans="1:5" x14ac:dyDescent="0.2">
      <c r="A79" s="98"/>
      <c r="B79" s="99">
        <f t="shared" si="2"/>
        <v>0</v>
      </c>
      <c r="C79" s="100"/>
      <c r="D79" s="101"/>
      <c r="E79" s="102"/>
    </row>
    <row r="80" spans="1:5" x14ac:dyDescent="0.2">
      <c r="A80" s="98"/>
      <c r="B80" s="99">
        <f t="shared" si="2"/>
        <v>0</v>
      </c>
      <c r="C80" s="100"/>
      <c r="D80" s="101"/>
      <c r="E80" s="102"/>
    </row>
    <row r="81" spans="1:5" x14ac:dyDescent="0.2">
      <c r="A81" s="98"/>
      <c r="B81" s="99">
        <f t="shared" si="2"/>
        <v>0</v>
      </c>
      <c r="C81" s="100"/>
      <c r="D81" s="101"/>
      <c r="E81" s="102"/>
    </row>
    <row r="82" spans="1:5" x14ac:dyDescent="0.2">
      <c r="A82" s="98"/>
      <c r="B82" s="99">
        <f t="shared" si="2"/>
        <v>0</v>
      </c>
      <c r="C82" s="100"/>
      <c r="D82" s="101"/>
      <c r="E82" s="102"/>
    </row>
    <row r="83" spans="1:5" x14ac:dyDescent="0.2">
      <c r="A83" s="98"/>
      <c r="B83" s="99">
        <f t="shared" si="2"/>
        <v>0</v>
      </c>
      <c r="C83" s="100"/>
      <c r="D83" s="101"/>
      <c r="E83" s="102"/>
    </row>
    <row r="84" spans="1:5" x14ac:dyDescent="0.2">
      <c r="A84" s="98"/>
      <c r="B84" s="99">
        <f t="shared" si="2"/>
        <v>0</v>
      </c>
      <c r="C84" s="100"/>
      <c r="D84" s="101"/>
      <c r="E84" s="102"/>
    </row>
    <row r="85" spans="1:5" x14ac:dyDescent="0.2">
      <c r="A85" s="98"/>
      <c r="B85" s="99">
        <f t="shared" si="2"/>
        <v>0</v>
      </c>
      <c r="C85" s="100"/>
      <c r="D85" s="101"/>
      <c r="E85" s="102"/>
    </row>
    <row r="86" spans="1:5" x14ac:dyDescent="0.2">
      <c r="A86" s="98"/>
      <c r="B86" s="99">
        <f t="shared" si="2"/>
        <v>0</v>
      </c>
      <c r="C86" s="100"/>
      <c r="D86" s="101"/>
      <c r="E86" s="102"/>
    </row>
    <row r="87" spans="1:5" x14ac:dyDescent="0.2">
      <c r="A87" s="98"/>
      <c r="B87" s="99">
        <f t="shared" si="2"/>
        <v>0</v>
      </c>
      <c r="C87" s="100"/>
      <c r="D87" s="101"/>
      <c r="E87" s="102"/>
    </row>
    <row r="88" spans="1:5" x14ac:dyDescent="0.2">
      <c r="A88" s="98"/>
      <c r="B88" s="99">
        <f t="shared" si="2"/>
        <v>0</v>
      </c>
      <c r="C88" s="100"/>
      <c r="D88" s="101"/>
      <c r="E88" s="102"/>
    </row>
    <row r="89" spans="1:5" x14ac:dyDescent="0.2">
      <c r="A89" s="98"/>
      <c r="B89" s="99">
        <f t="shared" si="2"/>
        <v>0</v>
      </c>
      <c r="C89" s="100"/>
      <c r="D89" s="101"/>
      <c r="E89" s="102"/>
    </row>
    <row r="90" spans="1:5" x14ac:dyDescent="0.2">
      <c r="A90" s="98"/>
      <c r="B90" s="99">
        <f t="shared" si="2"/>
        <v>0</v>
      </c>
      <c r="C90" s="100"/>
      <c r="D90" s="101"/>
      <c r="E90" s="102"/>
    </row>
    <row r="91" spans="1:5" x14ac:dyDescent="0.2">
      <c r="A91" s="98"/>
      <c r="B91" s="99">
        <f t="shared" si="2"/>
        <v>0</v>
      </c>
      <c r="C91" s="100"/>
      <c r="D91" s="101"/>
      <c r="E91" s="102"/>
    </row>
    <row r="92" spans="1:5" x14ac:dyDescent="0.2">
      <c r="A92" s="98"/>
      <c r="B92" s="99">
        <f t="shared" si="2"/>
        <v>0</v>
      </c>
      <c r="C92" s="100"/>
      <c r="D92" s="101"/>
      <c r="E92" s="102"/>
    </row>
    <row r="93" spans="1:5" x14ac:dyDescent="0.2">
      <c r="A93" s="98"/>
      <c r="B93" s="99">
        <f t="shared" si="2"/>
        <v>0</v>
      </c>
      <c r="C93" s="100"/>
      <c r="D93" s="101"/>
      <c r="E93" s="102"/>
    </row>
    <row r="94" spans="1:5" x14ac:dyDescent="0.2">
      <c r="A94" s="98"/>
      <c r="B94" s="99">
        <f t="shared" si="2"/>
        <v>0</v>
      </c>
      <c r="C94" s="100"/>
      <c r="D94" s="101"/>
      <c r="E94" s="102"/>
    </row>
    <row r="95" spans="1:5" x14ac:dyDescent="0.2">
      <c r="A95" s="98"/>
      <c r="B95" s="99">
        <f t="shared" si="2"/>
        <v>0</v>
      </c>
      <c r="C95" s="100"/>
      <c r="D95" s="101"/>
      <c r="E95" s="102"/>
    </row>
    <row r="96" spans="1:5" x14ac:dyDescent="0.2">
      <c r="A96" s="98"/>
      <c r="B96" s="99">
        <f t="shared" si="2"/>
        <v>0</v>
      </c>
      <c r="C96" s="100"/>
      <c r="D96" s="101"/>
      <c r="E96" s="102"/>
    </row>
    <row r="97" spans="1:5" x14ac:dyDescent="0.2">
      <c r="A97" s="98"/>
      <c r="B97" s="99">
        <f t="shared" si="2"/>
        <v>0</v>
      </c>
      <c r="C97" s="100"/>
      <c r="D97" s="101"/>
      <c r="E97" s="102"/>
    </row>
    <row r="98" spans="1:5" x14ac:dyDescent="0.2">
      <c r="A98" s="98"/>
      <c r="B98" s="99">
        <f t="shared" si="2"/>
        <v>0</v>
      </c>
      <c r="C98" s="100"/>
      <c r="D98" s="101"/>
      <c r="E98" s="102"/>
    </row>
    <row r="99" spans="1:5" x14ac:dyDescent="0.2">
      <c r="A99" s="98"/>
      <c r="B99" s="99">
        <f t="shared" si="2"/>
        <v>0</v>
      </c>
      <c r="C99" s="100"/>
      <c r="D99" s="101"/>
      <c r="E99" s="102"/>
    </row>
    <row r="100" spans="1:5" x14ac:dyDescent="0.2">
      <c r="A100" s="98"/>
      <c r="B100" s="99">
        <f t="shared" si="2"/>
        <v>0</v>
      </c>
      <c r="C100" s="100"/>
      <c r="D100" s="101"/>
      <c r="E100" s="102"/>
    </row>
    <row r="101" spans="1:5" x14ac:dyDescent="0.2">
      <c r="A101" s="98"/>
      <c r="B101" s="99">
        <f t="shared" si="2"/>
        <v>0</v>
      </c>
      <c r="C101" s="100"/>
      <c r="D101" s="101"/>
      <c r="E101" s="102"/>
    </row>
    <row r="102" spans="1:5" x14ac:dyDescent="0.2">
      <c r="A102" s="98"/>
      <c r="B102" s="99">
        <f t="shared" si="2"/>
        <v>0</v>
      </c>
      <c r="C102" s="100"/>
      <c r="D102" s="101"/>
      <c r="E102" s="102"/>
    </row>
    <row r="103" spans="1:5" x14ac:dyDescent="0.2">
      <c r="A103" s="98"/>
      <c r="B103" s="99">
        <f t="shared" si="2"/>
        <v>0</v>
      </c>
      <c r="C103" s="100"/>
      <c r="D103" s="101"/>
      <c r="E103" s="102"/>
    </row>
    <row r="104" spans="1:5" x14ac:dyDescent="0.2">
      <c r="A104" s="98"/>
      <c r="B104" s="99">
        <f t="shared" si="2"/>
        <v>0</v>
      </c>
      <c r="C104" s="100"/>
      <c r="D104" s="101"/>
      <c r="E104" s="102"/>
    </row>
    <row r="105" spans="1:5" x14ac:dyDescent="0.2">
      <c r="A105" s="98"/>
      <c r="B105" s="99">
        <f t="shared" si="2"/>
        <v>0</v>
      </c>
      <c r="C105" s="100"/>
      <c r="D105" s="101"/>
      <c r="E105" s="102"/>
    </row>
    <row r="106" spans="1:5" x14ac:dyDescent="0.2">
      <c r="A106" s="98"/>
      <c r="B106" s="99">
        <f t="shared" si="2"/>
        <v>0</v>
      </c>
      <c r="C106" s="100"/>
      <c r="D106" s="101"/>
      <c r="E106" s="102"/>
    </row>
    <row r="107" spans="1:5" x14ac:dyDescent="0.2">
      <c r="A107" s="98"/>
      <c r="B107" s="99">
        <f t="shared" si="2"/>
        <v>0</v>
      </c>
      <c r="C107" s="100"/>
      <c r="D107" s="101"/>
      <c r="E107" s="102"/>
    </row>
    <row r="108" spans="1:5" x14ac:dyDescent="0.2">
      <c r="A108" s="98"/>
      <c r="B108" s="99">
        <f t="shared" si="2"/>
        <v>0</v>
      </c>
      <c r="C108" s="100"/>
      <c r="D108" s="101"/>
      <c r="E108" s="102"/>
    </row>
    <row r="109" spans="1:5" x14ac:dyDescent="0.2">
      <c r="A109" s="98"/>
      <c r="B109" s="99">
        <f t="shared" si="2"/>
        <v>0</v>
      </c>
      <c r="C109" s="100"/>
      <c r="D109" s="101"/>
      <c r="E109" s="102"/>
    </row>
    <row r="110" spans="1:5" x14ac:dyDescent="0.2">
      <c r="A110" s="98"/>
      <c r="B110" s="99">
        <f t="shared" si="2"/>
        <v>0</v>
      </c>
      <c r="C110" s="100"/>
      <c r="D110" s="101"/>
      <c r="E110" s="102"/>
    </row>
    <row r="111" spans="1:5" x14ac:dyDescent="0.2">
      <c r="A111" s="98"/>
      <c r="B111" s="99">
        <f t="shared" si="2"/>
        <v>0</v>
      </c>
      <c r="C111" s="100"/>
      <c r="D111" s="101"/>
      <c r="E111" s="102"/>
    </row>
    <row r="112" spans="1:5" x14ac:dyDescent="0.2">
      <c r="A112" s="98"/>
      <c r="B112" s="99">
        <f t="shared" si="2"/>
        <v>0</v>
      </c>
      <c r="C112" s="100"/>
      <c r="D112" s="101"/>
      <c r="E112" s="102"/>
    </row>
    <row r="113" spans="1:5" x14ac:dyDescent="0.2">
      <c r="A113" s="98"/>
      <c r="B113" s="99">
        <f t="shared" si="2"/>
        <v>0</v>
      </c>
      <c r="C113" s="100"/>
      <c r="D113" s="101"/>
      <c r="E113" s="102"/>
    </row>
    <row r="114" spans="1:5" x14ac:dyDescent="0.2">
      <c r="A114" s="98"/>
      <c r="B114" s="99">
        <f t="shared" si="2"/>
        <v>0</v>
      </c>
      <c r="C114" s="100"/>
      <c r="D114" s="101"/>
      <c r="E114" s="102"/>
    </row>
    <row r="115" spans="1:5" x14ac:dyDescent="0.2">
      <c r="A115" s="98"/>
      <c r="B115" s="99">
        <f t="shared" si="2"/>
        <v>0</v>
      </c>
      <c r="C115" s="100"/>
      <c r="D115" s="101"/>
      <c r="E115" s="102"/>
    </row>
    <row r="116" spans="1:5" x14ac:dyDescent="0.2">
      <c r="A116" s="98"/>
      <c r="B116" s="99">
        <f t="shared" si="2"/>
        <v>0</v>
      </c>
      <c r="C116" s="100"/>
      <c r="D116" s="101"/>
      <c r="E116" s="102"/>
    </row>
    <row r="117" spans="1:5" x14ac:dyDescent="0.2">
      <c r="A117" s="98"/>
      <c r="B117" s="99">
        <f t="shared" si="2"/>
        <v>0</v>
      </c>
      <c r="C117" s="100"/>
      <c r="D117" s="101"/>
      <c r="E117" s="102"/>
    </row>
    <row r="118" spans="1:5" x14ac:dyDescent="0.2">
      <c r="A118" s="98"/>
      <c r="B118" s="99">
        <f t="shared" si="2"/>
        <v>0</v>
      </c>
      <c r="C118" s="100"/>
      <c r="D118" s="101"/>
      <c r="E118" s="102"/>
    </row>
    <row r="119" spans="1:5" x14ac:dyDescent="0.2">
      <c r="A119" s="98"/>
      <c r="B119" s="99">
        <f t="shared" si="2"/>
        <v>0</v>
      </c>
      <c r="C119" s="100"/>
      <c r="D119" s="101"/>
      <c r="E119" s="102"/>
    </row>
    <row r="120" spans="1:5" x14ac:dyDescent="0.2">
      <c r="A120" s="98"/>
      <c r="B120" s="99">
        <f t="shared" si="2"/>
        <v>0</v>
      </c>
      <c r="C120" s="100"/>
      <c r="D120" s="101"/>
      <c r="E120" s="102"/>
    </row>
    <row r="121" spans="1:5" x14ac:dyDescent="0.2">
      <c r="A121" s="98"/>
      <c r="B121" s="99">
        <f t="shared" si="2"/>
        <v>0</v>
      </c>
      <c r="C121" s="100"/>
      <c r="D121" s="101"/>
      <c r="E121" s="102"/>
    </row>
    <row r="122" spans="1:5" x14ac:dyDescent="0.2">
      <c r="A122" s="98"/>
      <c r="B122" s="99">
        <f t="shared" si="2"/>
        <v>0</v>
      </c>
      <c r="C122" s="100"/>
      <c r="D122" s="101"/>
      <c r="E122" s="102"/>
    </row>
    <row r="123" spans="1:5" x14ac:dyDescent="0.2">
      <c r="A123" s="98"/>
      <c r="B123" s="99">
        <f t="shared" si="2"/>
        <v>0</v>
      </c>
      <c r="C123" s="100"/>
      <c r="D123" s="101"/>
      <c r="E123" s="102"/>
    </row>
    <row r="124" spans="1:5" x14ac:dyDescent="0.2">
      <c r="A124" s="98"/>
      <c r="B124" s="99">
        <f t="shared" si="2"/>
        <v>0</v>
      </c>
      <c r="C124" s="100"/>
      <c r="D124" s="101"/>
      <c r="E124" s="102"/>
    </row>
    <row r="125" spans="1:5" x14ac:dyDescent="0.2">
      <c r="A125" s="98"/>
      <c r="B125" s="99">
        <f t="shared" si="2"/>
        <v>0</v>
      </c>
      <c r="C125" s="100"/>
      <c r="D125" s="101"/>
      <c r="E125" s="102"/>
    </row>
    <row r="126" spans="1:5" x14ac:dyDescent="0.2">
      <c r="A126" s="98"/>
      <c r="B126" s="99">
        <f t="shared" si="2"/>
        <v>0</v>
      </c>
      <c r="C126" s="100"/>
      <c r="D126" s="101"/>
      <c r="E126" s="102"/>
    </row>
    <row r="127" spans="1:5" x14ac:dyDescent="0.2">
      <c r="A127" s="98"/>
      <c r="B127" s="99">
        <f t="shared" si="2"/>
        <v>0</v>
      </c>
      <c r="C127" s="100"/>
      <c r="D127" s="101"/>
      <c r="E127" s="102"/>
    </row>
    <row r="128" spans="1:5" x14ac:dyDescent="0.2">
      <c r="A128" s="98"/>
      <c r="B128" s="99">
        <f t="shared" si="2"/>
        <v>0</v>
      </c>
      <c r="C128" s="100"/>
      <c r="D128" s="101"/>
      <c r="E128" s="102"/>
    </row>
    <row r="129" spans="1:5" x14ac:dyDescent="0.2">
      <c r="A129" s="98"/>
      <c r="B129" s="99">
        <f t="shared" si="2"/>
        <v>0</v>
      </c>
      <c r="C129" s="100"/>
      <c r="D129" s="101"/>
      <c r="E129" s="102"/>
    </row>
    <row r="130" spans="1:5" x14ac:dyDescent="0.2">
      <c r="A130" s="98"/>
      <c r="B130" s="99">
        <f t="shared" si="2"/>
        <v>0</v>
      </c>
      <c r="C130" s="100"/>
      <c r="D130" s="101"/>
      <c r="E130" s="102"/>
    </row>
    <row r="131" spans="1:5" x14ac:dyDescent="0.2">
      <c r="A131" s="98"/>
      <c r="B131" s="99">
        <f t="shared" si="2"/>
        <v>0</v>
      </c>
      <c r="C131" s="100"/>
      <c r="D131" s="101"/>
      <c r="E131" s="102"/>
    </row>
    <row r="132" spans="1:5" x14ac:dyDescent="0.2">
      <c r="A132" s="98"/>
      <c r="B132" s="99">
        <f t="shared" si="2"/>
        <v>0</v>
      </c>
      <c r="C132" s="100"/>
      <c r="D132" s="101"/>
      <c r="E132" s="102"/>
    </row>
    <row r="133" spans="1:5" x14ac:dyDescent="0.2">
      <c r="A133" s="98"/>
      <c r="B133" s="99">
        <f t="shared" si="2"/>
        <v>0</v>
      </c>
      <c r="C133" s="100"/>
      <c r="D133" s="101"/>
      <c r="E133" s="102"/>
    </row>
    <row r="134" spans="1:5" x14ac:dyDescent="0.2">
      <c r="A134" s="98"/>
      <c r="B134" s="99">
        <f t="shared" si="2"/>
        <v>0</v>
      </c>
      <c r="C134" s="100"/>
      <c r="D134" s="101"/>
      <c r="E134" s="102"/>
    </row>
    <row r="135" spans="1:5" x14ac:dyDescent="0.2">
      <c r="A135" s="98"/>
      <c r="B135" s="99">
        <f t="shared" ref="B135:B198" si="3">WEEKNUM(A135,1)</f>
        <v>0</v>
      </c>
      <c r="C135" s="100"/>
      <c r="D135" s="101"/>
      <c r="E135" s="102"/>
    </row>
    <row r="136" spans="1:5" x14ac:dyDescent="0.2">
      <c r="A136" s="98"/>
      <c r="B136" s="99">
        <f t="shared" si="3"/>
        <v>0</v>
      </c>
      <c r="C136" s="100"/>
      <c r="D136" s="101"/>
      <c r="E136" s="102"/>
    </row>
    <row r="137" spans="1:5" x14ac:dyDescent="0.2">
      <c r="A137" s="98"/>
      <c r="B137" s="99">
        <f t="shared" si="3"/>
        <v>0</v>
      </c>
      <c r="C137" s="100"/>
      <c r="D137" s="101"/>
      <c r="E137" s="102"/>
    </row>
    <row r="138" spans="1:5" x14ac:dyDescent="0.2">
      <c r="A138" s="98"/>
      <c r="B138" s="99">
        <f t="shared" si="3"/>
        <v>0</v>
      </c>
      <c r="C138" s="100"/>
      <c r="D138" s="101"/>
      <c r="E138" s="102"/>
    </row>
    <row r="139" spans="1:5" x14ac:dyDescent="0.2">
      <c r="A139" s="98"/>
      <c r="B139" s="99">
        <f t="shared" si="3"/>
        <v>0</v>
      </c>
      <c r="C139" s="100"/>
      <c r="D139" s="101"/>
      <c r="E139" s="102"/>
    </row>
    <row r="140" spans="1:5" x14ac:dyDescent="0.2">
      <c r="A140" s="98"/>
      <c r="B140" s="99">
        <f t="shared" si="3"/>
        <v>0</v>
      </c>
      <c r="C140" s="100"/>
      <c r="D140" s="101"/>
      <c r="E140" s="102"/>
    </row>
    <row r="141" spans="1:5" x14ac:dyDescent="0.2">
      <c r="A141" s="98"/>
      <c r="B141" s="99">
        <f t="shared" si="3"/>
        <v>0</v>
      </c>
      <c r="C141" s="100"/>
      <c r="D141" s="101"/>
      <c r="E141" s="102"/>
    </row>
    <row r="142" spans="1:5" x14ac:dyDescent="0.2">
      <c r="A142" s="98"/>
      <c r="B142" s="99">
        <f t="shared" si="3"/>
        <v>0</v>
      </c>
      <c r="C142" s="100"/>
      <c r="D142" s="101"/>
      <c r="E142" s="102"/>
    </row>
    <row r="143" spans="1:5" x14ac:dyDescent="0.2">
      <c r="A143" s="98"/>
      <c r="B143" s="99">
        <f t="shared" si="3"/>
        <v>0</v>
      </c>
      <c r="C143" s="100"/>
      <c r="D143" s="101"/>
      <c r="E143" s="102"/>
    </row>
    <row r="144" spans="1:5" x14ac:dyDescent="0.2">
      <c r="A144" s="98"/>
      <c r="B144" s="99">
        <f t="shared" si="3"/>
        <v>0</v>
      </c>
      <c r="C144" s="100"/>
      <c r="D144" s="101"/>
      <c r="E144" s="102"/>
    </row>
    <row r="145" spans="1:5" x14ac:dyDescent="0.2">
      <c r="A145" s="98"/>
      <c r="B145" s="99">
        <f t="shared" si="3"/>
        <v>0</v>
      </c>
      <c r="C145" s="100"/>
      <c r="D145" s="101"/>
      <c r="E145" s="102"/>
    </row>
    <row r="146" spans="1:5" x14ac:dyDescent="0.2">
      <c r="A146" s="98"/>
      <c r="B146" s="99">
        <f t="shared" si="3"/>
        <v>0</v>
      </c>
      <c r="C146" s="100"/>
      <c r="D146" s="101"/>
      <c r="E146" s="102"/>
    </row>
    <row r="147" spans="1:5" x14ac:dyDescent="0.2">
      <c r="A147" s="98"/>
      <c r="B147" s="99">
        <f t="shared" si="3"/>
        <v>0</v>
      </c>
      <c r="C147" s="100"/>
      <c r="D147" s="101"/>
      <c r="E147" s="102"/>
    </row>
    <row r="148" spans="1:5" x14ac:dyDescent="0.2">
      <c r="A148" s="98"/>
      <c r="B148" s="99">
        <f t="shared" si="3"/>
        <v>0</v>
      </c>
      <c r="C148" s="100"/>
      <c r="D148" s="101"/>
      <c r="E148" s="102"/>
    </row>
    <row r="149" spans="1:5" x14ac:dyDescent="0.2">
      <c r="A149" s="98"/>
      <c r="B149" s="99">
        <f t="shared" si="3"/>
        <v>0</v>
      </c>
      <c r="C149" s="100"/>
      <c r="D149" s="101"/>
      <c r="E149" s="102"/>
    </row>
    <row r="150" spans="1:5" x14ac:dyDescent="0.2">
      <c r="A150" s="98"/>
      <c r="B150" s="99">
        <f t="shared" si="3"/>
        <v>0</v>
      </c>
      <c r="C150" s="100"/>
      <c r="D150" s="101"/>
      <c r="E150" s="102"/>
    </row>
    <row r="151" spans="1:5" x14ac:dyDescent="0.2">
      <c r="A151" s="98"/>
      <c r="B151" s="99">
        <f t="shared" si="3"/>
        <v>0</v>
      </c>
      <c r="C151" s="100"/>
      <c r="D151" s="101"/>
      <c r="E151" s="102"/>
    </row>
    <row r="152" spans="1:5" x14ac:dyDescent="0.2">
      <c r="A152" s="98"/>
      <c r="B152" s="99">
        <f t="shared" si="3"/>
        <v>0</v>
      </c>
      <c r="C152" s="100"/>
      <c r="D152" s="101"/>
      <c r="E152" s="102"/>
    </row>
    <row r="153" spans="1:5" x14ac:dyDescent="0.2">
      <c r="A153" s="98"/>
      <c r="B153" s="99">
        <f t="shared" si="3"/>
        <v>0</v>
      </c>
      <c r="C153" s="100"/>
      <c r="D153" s="101"/>
      <c r="E153" s="102"/>
    </row>
    <row r="154" spans="1:5" x14ac:dyDescent="0.2">
      <c r="A154" s="98"/>
      <c r="B154" s="99">
        <f t="shared" si="3"/>
        <v>0</v>
      </c>
      <c r="C154" s="100"/>
      <c r="D154" s="101"/>
      <c r="E154" s="102"/>
    </row>
    <row r="155" spans="1:5" x14ac:dyDescent="0.2">
      <c r="A155" s="98"/>
      <c r="B155" s="99">
        <f t="shared" si="3"/>
        <v>0</v>
      </c>
      <c r="C155" s="100"/>
      <c r="D155" s="101"/>
      <c r="E155" s="102"/>
    </row>
    <row r="156" spans="1:5" x14ac:dyDescent="0.2">
      <c r="A156" s="98"/>
      <c r="B156" s="99">
        <f t="shared" si="3"/>
        <v>0</v>
      </c>
      <c r="C156" s="100"/>
      <c r="D156" s="101"/>
      <c r="E156" s="102"/>
    </row>
    <row r="157" spans="1:5" x14ac:dyDescent="0.2">
      <c r="A157" s="98"/>
      <c r="B157" s="99">
        <f t="shared" si="3"/>
        <v>0</v>
      </c>
      <c r="C157" s="100"/>
      <c r="D157" s="101"/>
      <c r="E157" s="102"/>
    </row>
    <row r="158" spans="1:5" x14ac:dyDescent="0.2">
      <c r="A158" s="98"/>
      <c r="B158" s="99">
        <f t="shared" si="3"/>
        <v>0</v>
      </c>
      <c r="C158" s="100"/>
      <c r="D158" s="101"/>
      <c r="E158" s="102"/>
    </row>
    <row r="159" spans="1:5" x14ac:dyDescent="0.2">
      <c r="A159" s="98"/>
      <c r="B159" s="99">
        <f t="shared" si="3"/>
        <v>0</v>
      </c>
      <c r="C159" s="100"/>
      <c r="D159" s="101"/>
      <c r="E159" s="102"/>
    </row>
    <row r="160" spans="1:5" x14ac:dyDescent="0.2">
      <c r="A160" s="98"/>
      <c r="B160" s="99">
        <f t="shared" si="3"/>
        <v>0</v>
      </c>
      <c r="C160" s="100"/>
      <c r="D160" s="101"/>
      <c r="E160" s="102"/>
    </row>
    <row r="161" spans="1:5" x14ac:dyDescent="0.2">
      <c r="A161" s="98"/>
      <c r="B161" s="99">
        <f t="shared" si="3"/>
        <v>0</v>
      </c>
      <c r="C161" s="100"/>
      <c r="D161" s="101"/>
      <c r="E161" s="102"/>
    </row>
    <row r="162" spans="1:5" x14ac:dyDescent="0.2">
      <c r="A162" s="98"/>
      <c r="B162" s="99">
        <f t="shared" si="3"/>
        <v>0</v>
      </c>
      <c r="C162" s="100"/>
      <c r="D162" s="101"/>
      <c r="E162" s="102"/>
    </row>
    <row r="163" spans="1:5" x14ac:dyDescent="0.2">
      <c r="A163" s="98"/>
      <c r="B163" s="99">
        <f t="shared" si="3"/>
        <v>0</v>
      </c>
      <c r="C163" s="100"/>
      <c r="D163" s="101"/>
      <c r="E163" s="102"/>
    </row>
    <row r="164" spans="1:5" x14ac:dyDescent="0.2">
      <c r="A164" s="98"/>
      <c r="B164" s="99">
        <f t="shared" si="3"/>
        <v>0</v>
      </c>
      <c r="C164" s="100"/>
      <c r="D164" s="101"/>
      <c r="E164" s="102"/>
    </row>
    <row r="165" spans="1:5" x14ac:dyDescent="0.2">
      <c r="A165" s="98"/>
      <c r="B165" s="99">
        <f t="shared" si="3"/>
        <v>0</v>
      </c>
      <c r="C165" s="100"/>
      <c r="D165" s="101"/>
      <c r="E165" s="102"/>
    </row>
    <row r="166" spans="1:5" x14ac:dyDescent="0.2">
      <c r="A166" s="98"/>
      <c r="B166" s="99">
        <f t="shared" si="3"/>
        <v>0</v>
      </c>
      <c r="C166" s="100"/>
      <c r="D166" s="101"/>
      <c r="E166" s="102"/>
    </row>
    <row r="167" spans="1:5" x14ac:dyDescent="0.2">
      <c r="A167" s="98"/>
      <c r="B167" s="99">
        <f t="shared" si="3"/>
        <v>0</v>
      </c>
      <c r="C167" s="100"/>
      <c r="D167" s="101"/>
      <c r="E167" s="102"/>
    </row>
    <row r="168" spans="1:5" x14ac:dyDescent="0.2">
      <c r="A168" s="98"/>
      <c r="B168" s="99">
        <f t="shared" si="3"/>
        <v>0</v>
      </c>
      <c r="C168" s="100"/>
      <c r="D168" s="101"/>
      <c r="E168" s="102"/>
    </row>
    <row r="169" spans="1:5" x14ac:dyDescent="0.2">
      <c r="A169" s="98"/>
      <c r="B169" s="99">
        <f t="shared" si="3"/>
        <v>0</v>
      </c>
      <c r="C169" s="100"/>
      <c r="D169" s="101"/>
      <c r="E169" s="102"/>
    </row>
    <row r="170" spans="1:5" x14ac:dyDescent="0.2">
      <c r="A170" s="98"/>
      <c r="B170" s="99">
        <f t="shared" si="3"/>
        <v>0</v>
      </c>
      <c r="C170" s="100"/>
      <c r="D170" s="101"/>
      <c r="E170" s="102"/>
    </row>
    <row r="171" spans="1:5" x14ac:dyDescent="0.2">
      <c r="A171" s="98"/>
      <c r="B171" s="99">
        <f t="shared" si="3"/>
        <v>0</v>
      </c>
      <c r="C171" s="100"/>
      <c r="D171" s="101"/>
      <c r="E171" s="102"/>
    </row>
    <row r="172" spans="1:5" x14ac:dyDescent="0.2">
      <c r="A172" s="98"/>
      <c r="B172" s="99">
        <f t="shared" si="3"/>
        <v>0</v>
      </c>
      <c r="C172" s="100"/>
      <c r="D172" s="101"/>
      <c r="E172" s="102"/>
    </row>
    <row r="173" spans="1:5" x14ac:dyDescent="0.2">
      <c r="A173" s="98"/>
      <c r="B173" s="99">
        <f t="shared" si="3"/>
        <v>0</v>
      </c>
      <c r="C173" s="100"/>
      <c r="D173" s="101"/>
      <c r="E173" s="102"/>
    </row>
    <row r="174" spans="1:5" x14ac:dyDescent="0.2">
      <c r="A174" s="98"/>
      <c r="B174" s="99">
        <f t="shared" si="3"/>
        <v>0</v>
      </c>
      <c r="C174" s="100"/>
      <c r="D174" s="101"/>
      <c r="E174" s="102"/>
    </row>
    <row r="175" spans="1:5" x14ac:dyDescent="0.2">
      <c r="A175" s="98"/>
      <c r="B175" s="99">
        <f t="shared" si="3"/>
        <v>0</v>
      </c>
      <c r="C175" s="100"/>
      <c r="D175" s="101"/>
      <c r="E175" s="102"/>
    </row>
    <row r="176" spans="1:5" x14ac:dyDescent="0.2">
      <c r="A176" s="98"/>
      <c r="B176" s="99">
        <f t="shared" si="3"/>
        <v>0</v>
      </c>
      <c r="C176" s="100"/>
      <c r="D176" s="101"/>
      <c r="E176" s="102"/>
    </row>
    <row r="177" spans="1:5" x14ac:dyDescent="0.2">
      <c r="A177" s="98"/>
      <c r="B177" s="99">
        <f t="shared" si="3"/>
        <v>0</v>
      </c>
      <c r="C177" s="100"/>
      <c r="D177" s="101"/>
      <c r="E177" s="102"/>
    </row>
    <row r="178" spans="1:5" x14ac:dyDescent="0.2">
      <c r="A178" s="98"/>
      <c r="B178" s="99">
        <f t="shared" si="3"/>
        <v>0</v>
      </c>
      <c r="C178" s="100"/>
      <c r="D178" s="101"/>
      <c r="E178" s="102"/>
    </row>
    <row r="179" spans="1:5" x14ac:dyDescent="0.2">
      <c r="A179" s="98"/>
      <c r="B179" s="99">
        <f t="shared" si="3"/>
        <v>0</v>
      </c>
      <c r="C179" s="100"/>
      <c r="D179" s="101"/>
      <c r="E179" s="102"/>
    </row>
    <row r="180" spans="1:5" x14ac:dyDescent="0.2">
      <c r="A180" s="98"/>
      <c r="B180" s="99">
        <f t="shared" si="3"/>
        <v>0</v>
      </c>
      <c r="C180" s="100"/>
      <c r="D180" s="101"/>
      <c r="E180" s="102"/>
    </row>
    <row r="181" spans="1:5" x14ac:dyDescent="0.2">
      <c r="A181" s="98"/>
      <c r="B181" s="99">
        <f t="shared" si="3"/>
        <v>0</v>
      </c>
      <c r="C181" s="100"/>
      <c r="D181" s="101"/>
      <c r="E181" s="102"/>
    </row>
    <row r="182" spans="1:5" x14ac:dyDescent="0.2">
      <c r="A182" s="98"/>
      <c r="B182" s="99">
        <f t="shared" si="3"/>
        <v>0</v>
      </c>
      <c r="C182" s="100"/>
      <c r="D182" s="101"/>
      <c r="E182" s="102"/>
    </row>
    <row r="183" spans="1:5" x14ac:dyDescent="0.2">
      <c r="A183" s="98"/>
      <c r="B183" s="99">
        <f t="shared" si="3"/>
        <v>0</v>
      </c>
      <c r="C183" s="100"/>
      <c r="D183" s="101"/>
      <c r="E183" s="102"/>
    </row>
    <row r="184" spans="1:5" x14ac:dyDescent="0.2">
      <c r="A184" s="98"/>
      <c r="B184" s="99">
        <f t="shared" si="3"/>
        <v>0</v>
      </c>
      <c r="C184" s="100"/>
      <c r="D184" s="101"/>
      <c r="E184" s="102"/>
    </row>
    <row r="185" spans="1:5" x14ac:dyDescent="0.2">
      <c r="A185" s="98"/>
      <c r="B185" s="99">
        <f t="shared" si="3"/>
        <v>0</v>
      </c>
      <c r="C185" s="100"/>
      <c r="D185" s="101"/>
      <c r="E185" s="102"/>
    </row>
    <row r="186" spans="1:5" x14ac:dyDescent="0.2">
      <c r="A186" s="98"/>
      <c r="B186" s="99">
        <f t="shared" si="3"/>
        <v>0</v>
      </c>
      <c r="C186" s="100"/>
      <c r="D186" s="101"/>
      <c r="E186" s="102"/>
    </row>
    <row r="187" spans="1:5" x14ac:dyDescent="0.2">
      <c r="A187" s="98"/>
      <c r="B187" s="99">
        <f t="shared" si="3"/>
        <v>0</v>
      </c>
      <c r="C187" s="100"/>
      <c r="D187" s="101"/>
      <c r="E187" s="102"/>
    </row>
    <row r="188" spans="1:5" x14ac:dyDescent="0.2">
      <c r="A188" s="98"/>
      <c r="B188" s="99">
        <f t="shared" si="3"/>
        <v>0</v>
      </c>
      <c r="C188" s="100"/>
      <c r="D188" s="101"/>
      <c r="E188" s="102"/>
    </row>
    <row r="189" spans="1:5" x14ac:dyDescent="0.2">
      <c r="A189" s="98"/>
      <c r="B189" s="99">
        <f t="shared" si="3"/>
        <v>0</v>
      </c>
      <c r="C189" s="100"/>
      <c r="D189" s="101"/>
      <c r="E189" s="102"/>
    </row>
    <row r="190" spans="1:5" x14ac:dyDescent="0.2">
      <c r="A190" s="98"/>
      <c r="B190" s="99">
        <f t="shared" si="3"/>
        <v>0</v>
      </c>
      <c r="C190" s="100"/>
      <c r="D190" s="101"/>
      <c r="E190" s="102"/>
    </row>
    <row r="191" spans="1:5" x14ac:dyDescent="0.2">
      <c r="A191" s="98"/>
      <c r="B191" s="99">
        <f t="shared" si="3"/>
        <v>0</v>
      </c>
      <c r="C191" s="100"/>
      <c r="D191" s="101"/>
      <c r="E191" s="102"/>
    </row>
    <row r="192" spans="1:5" x14ac:dyDescent="0.2">
      <c r="A192" s="98"/>
      <c r="B192" s="99">
        <f t="shared" si="3"/>
        <v>0</v>
      </c>
      <c r="C192" s="100"/>
      <c r="D192" s="101"/>
      <c r="E192" s="102"/>
    </row>
    <row r="193" spans="1:5" x14ac:dyDescent="0.2">
      <c r="A193" s="98"/>
      <c r="B193" s="99">
        <f t="shared" si="3"/>
        <v>0</v>
      </c>
      <c r="C193" s="100"/>
      <c r="D193" s="101"/>
      <c r="E193" s="102"/>
    </row>
    <row r="194" spans="1:5" x14ac:dyDescent="0.2">
      <c r="A194" s="98"/>
      <c r="B194" s="99">
        <f t="shared" si="3"/>
        <v>0</v>
      </c>
      <c r="C194" s="100"/>
      <c r="D194" s="101"/>
      <c r="E194" s="102"/>
    </row>
    <row r="195" spans="1:5" x14ac:dyDescent="0.2">
      <c r="A195" s="98"/>
      <c r="B195" s="99">
        <f t="shared" si="3"/>
        <v>0</v>
      </c>
      <c r="C195" s="100"/>
      <c r="D195" s="101"/>
      <c r="E195" s="102"/>
    </row>
    <row r="196" spans="1:5" x14ac:dyDescent="0.2">
      <c r="A196" s="98"/>
      <c r="B196" s="99">
        <f t="shared" si="3"/>
        <v>0</v>
      </c>
      <c r="C196" s="100"/>
      <c r="D196" s="101"/>
      <c r="E196" s="102"/>
    </row>
    <row r="197" spans="1:5" x14ac:dyDescent="0.2">
      <c r="A197" s="98"/>
      <c r="B197" s="99">
        <f t="shared" si="3"/>
        <v>0</v>
      </c>
      <c r="C197" s="100"/>
      <c r="D197" s="101"/>
      <c r="E197" s="102"/>
    </row>
    <row r="198" spans="1:5" x14ac:dyDescent="0.2">
      <c r="A198" s="98"/>
      <c r="B198" s="99">
        <f t="shared" si="3"/>
        <v>0</v>
      </c>
      <c r="C198" s="100"/>
      <c r="D198" s="101"/>
      <c r="E198" s="102"/>
    </row>
    <row r="199" spans="1:5" x14ac:dyDescent="0.2">
      <c r="A199" s="98"/>
      <c r="B199" s="99">
        <f t="shared" ref="B199:B262" si="4">WEEKNUM(A199,1)</f>
        <v>0</v>
      </c>
      <c r="C199" s="100"/>
      <c r="D199" s="101"/>
      <c r="E199" s="102"/>
    </row>
    <row r="200" spans="1:5" x14ac:dyDescent="0.2">
      <c r="A200" s="98"/>
      <c r="B200" s="99">
        <f t="shared" si="4"/>
        <v>0</v>
      </c>
      <c r="C200" s="100"/>
      <c r="D200" s="101"/>
      <c r="E200" s="102"/>
    </row>
    <row r="201" spans="1:5" x14ac:dyDescent="0.2">
      <c r="A201" s="98"/>
      <c r="B201" s="99">
        <f t="shared" si="4"/>
        <v>0</v>
      </c>
      <c r="C201" s="100"/>
      <c r="D201" s="101"/>
      <c r="E201" s="102"/>
    </row>
    <row r="202" spans="1:5" x14ac:dyDescent="0.2">
      <c r="A202" s="98"/>
      <c r="B202" s="99">
        <f t="shared" si="4"/>
        <v>0</v>
      </c>
      <c r="C202" s="100"/>
      <c r="D202" s="101"/>
      <c r="E202" s="102"/>
    </row>
    <row r="203" spans="1:5" x14ac:dyDescent="0.2">
      <c r="A203" s="98"/>
      <c r="B203" s="99">
        <f t="shared" si="4"/>
        <v>0</v>
      </c>
      <c r="C203" s="100"/>
      <c r="D203" s="101"/>
      <c r="E203" s="102"/>
    </row>
    <row r="204" spans="1:5" x14ac:dyDescent="0.2">
      <c r="A204" s="98"/>
      <c r="B204" s="99">
        <f t="shared" si="4"/>
        <v>0</v>
      </c>
      <c r="C204" s="100"/>
      <c r="D204" s="101"/>
      <c r="E204" s="102"/>
    </row>
    <row r="205" spans="1:5" x14ac:dyDescent="0.2">
      <c r="A205" s="98"/>
      <c r="B205" s="99">
        <f t="shared" si="4"/>
        <v>0</v>
      </c>
      <c r="C205" s="100"/>
      <c r="D205" s="101"/>
      <c r="E205" s="102"/>
    </row>
    <row r="206" spans="1:5" x14ac:dyDescent="0.2">
      <c r="A206" s="98"/>
      <c r="B206" s="99">
        <f t="shared" si="4"/>
        <v>0</v>
      </c>
      <c r="C206" s="100"/>
      <c r="D206" s="101"/>
      <c r="E206" s="102"/>
    </row>
    <row r="207" spans="1:5" x14ac:dyDescent="0.2">
      <c r="A207" s="98"/>
      <c r="B207" s="99">
        <f t="shared" si="4"/>
        <v>0</v>
      </c>
      <c r="C207" s="100"/>
      <c r="D207" s="101"/>
      <c r="E207" s="102"/>
    </row>
    <row r="208" spans="1:5" x14ac:dyDescent="0.2">
      <c r="A208" s="98"/>
      <c r="B208" s="99">
        <f t="shared" si="4"/>
        <v>0</v>
      </c>
      <c r="C208" s="100"/>
      <c r="D208" s="101"/>
      <c r="E208" s="102"/>
    </row>
    <row r="209" spans="1:5" x14ac:dyDescent="0.2">
      <c r="A209" s="98"/>
      <c r="B209" s="99">
        <f t="shared" si="4"/>
        <v>0</v>
      </c>
      <c r="C209" s="100"/>
      <c r="D209" s="101"/>
      <c r="E209" s="102"/>
    </row>
    <row r="210" spans="1:5" x14ac:dyDescent="0.2">
      <c r="A210" s="98"/>
      <c r="B210" s="99">
        <f t="shared" si="4"/>
        <v>0</v>
      </c>
      <c r="C210" s="100"/>
      <c r="D210" s="101"/>
      <c r="E210" s="102"/>
    </row>
    <row r="211" spans="1:5" x14ac:dyDescent="0.2">
      <c r="A211" s="98"/>
      <c r="B211" s="99">
        <f t="shared" si="4"/>
        <v>0</v>
      </c>
      <c r="C211" s="100"/>
      <c r="D211" s="101"/>
      <c r="E211" s="102"/>
    </row>
    <row r="212" spans="1:5" x14ac:dyDescent="0.2">
      <c r="A212" s="98"/>
      <c r="B212" s="99">
        <f t="shared" si="4"/>
        <v>0</v>
      </c>
      <c r="C212" s="100"/>
      <c r="D212" s="101"/>
      <c r="E212" s="102"/>
    </row>
    <row r="213" spans="1:5" x14ac:dyDescent="0.2">
      <c r="A213" s="98"/>
      <c r="B213" s="99">
        <f t="shared" si="4"/>
        <v>0</v>
      </c>
      <c r="C213" s="100"/>
      <c r="D213" s="101"/>
      <c r="E213" s="102"/>
    </row>
    <row r="214" spans="1:5" x14ac:dyDescent="0.2">
      <c r="A214" s="98"/>
      <c r="B214" s="99">
        <f t="shared" si="4"/>
        <v>0</v>
      </c>
      <c r="C214" s="100"/>
      <c r="D214" s="101"/>
      <c r="E214" s="102"/>
    </row>
    <row r="215" spans="1:5" x14ac:dyDescent="0.2">
      <c r="A215" s="98"/>
      <c r="B215" s="99">
        <f t="shared" si="4"/>
        <v>0</v>
      </c>
      <c r="C215" s="100"/>
      <c r="D215" s="101"/>
      <c r="E215" s="102"/>
    </row>
    <row r="216" spans="1:5" x14ac:dyDescent="0.2">
      <c r="A216" s="98"/>
      <c r="B216" s="99">
        <f t="shared" si="4"/>
        <v>0</v>
      </c>
      <c r="C216" s="100"/>
      <c r="D216" s="101"/>
      <c r="E216" s="102"/>
    </row>
    <row r="217" spans="1:5" x14ac:dyDescent="0.2">
      <c r="A217" s="98"/>
      <c r="B217" s="99">
        <f t="shared" si="4"/>
        <v>0</v>
      </c>
      <c r="C217" s="100"/>
      <c r="D217" s="101"/>
      <c r="E217" s="102"/>
    </row>
    <row r="218" spans="1:5" x14ac:dyDescent="0.2">
      <c r="A218" s="98"/>
      <c r="B218" s="99">
        <f t="shared" si="4"/>
        <v>0</v>
      </c>
      <c r="C218" s="100"/>
      <c r="D218" s="101"/>
      <c r="E218" s="102"/>
    </row>
    <row r="219" spans="1:5" x14ac:dyDescent="0.2">
      <c r="A219" s="98"/>
      <c r="B219" s="99">
        <f t="shared" si="4"/>
        <v>0</v>
      </c>
      <c r="C219" s="100"/>
      <c r="D219" s="101"/>
      <c r="E219" s="102"/>
    </row>
    <row r="220" spans="1:5" x14ac:dyDescent="0.2">
      <c r="A220" s="98"/>
      <c r="B220" s="99">
        <f t="shared" si="4"/>
        <v>0</v>
      </c>
      <c r="C220" s="100"/>
      <c r="D220" s="101"/>
      <c r="E220" s="102"/>
    </row>
    <row r="221" spans="1:5" x14ac:dyDescent="0.2">
      <c r="A221" s="98"/>
      <c r="B221" s="99">
        <f t="shared" si="4"/>
        <v>0</v>
      </c>
      <c r="C221" s="100"/>
      <c r="D221" s="101"/>
      <c r="E221" s="102"/>
    </row>
    <row r="222" spans="1:5" x14ac:dyDescent="0.2">
      <c r="A222" s="98"/>
      <c r="B222" s="99">
        <f t="shared" si="4"/>
        <v>0</v>
      </c>
      <c r="C222" s="100"/>
      <c r="D222" s="101"/>
      <c r="E222" s="102"/>
    </row>
    <row r="223" spans="1:5" x14ac:dyDescent="0.2">
      <c r="A223" s="98"/>
      <c r="B223" s="99">
        <f t="shared" si="4"/>
        <v>0</v>
      </c>
      <c r="C223" s="100"/>
      <c r="D223" s="101"/>
      <c r="E223" s="102"/>
    </row>
    <row r="224" spans="1:5" x14ac:dyDescent="0.2">
      <c r="A224" s="98"/>
      <c r="B224" s="99">
        <f t="shared" si="4"/>
        <v>0</v>
      </c>
      <c r="C224" s="100"/>
      <c r="D224" s="101"/>
      <c r="E224" s="102"/>
    </row>
    <row r="225" spans="1:5" x14ac:dyDescent="0.2">
      <c r="A225" s="98"/>
      <c r="B225" s="99">
        <f t="shared" si="4"/>
        <v>0</v>
      </c>
      <c r="C225" s="100"/>
      <c r="D225" s="101"/>
      <c r="E225" s="102"/>
    </row>
    <row r="226" spans="1:5" x14ac:dyDescent="0.2">
      <c r="A226" s="98"/>
      <c r="B226" s="99">
        <f t="shared" si="4"/>
        <v>0</v>
      </c>
      <c r="C226" s="100"/>
      <c r="D226" s="101"/>
      <c r="E226" s="102"/>
    </row>
    <row r="227" spans="1:5" x14ac:dyDescent="0.2">
      <c r="A227" s="98"/>
      <c r="B227" s="99">
        <f t="shared" si="4"/>
        <v>0</v>
      </c>
      <c r="C227" s="100"/>
      <c r="D227" s="101"/>
      <c r="E227" s="102"/>
    </row>
    <row r="228" spans="1:5" x14ac:dyDescent="0.2">
      <c r="A228" s="98"/>
      <c r="B228" s="99">
        <f t="shared" si="4"/>
        <v>0</v>
      </c>
      <c r="C228" s="100"/>
      <c r="D228" s="101"/>
      <c r="E228" s="102"/>
    </row>
    <row r="229" spans="1:5" x14ac:dyDescent="0.2">
      <c r="A229" s="98"/>
      <c r="B229" s="99">
        <f t="shared" si="4"/>
        <v>0</v>
      </c>
      <c r="C229" s="100"/>
      <c r="D229" s="101"/>
      <c r="E229" s="102"/>
    </row>
    <row r="230" spans="1:5" x14ac:dyDescent="0.2">
      <c r="A230" s="98"/>
      <c r="B230" s="99">
        <f t="shared" si="4"/>
        <v>0</v>
      </c>
      <c r="C230" s="100"/>
      <c r="D230" s="101"/>
      <c r="E230" s="102"/>
    </row>
    <row r="231" spans="1:5" x14ac:dyDescent="0.2">
      <c r="A231" s="98"/>
      <c r="B231" s="99">
        <f t="shared" si="4"/>
        <v>0</v>
      </c>
      <c r="C231" s="100"/>
      <c r="D231" s="101"/>
      <c r="E231" s="102"/>
    </row>
    <row r="232" spans="1:5" x14ac:dyDescent="0.2">
      <c r="A232" s="98"/>
      <c r="B232" s="99">
        <f t="shared" si="4"/>
        <v>0</v>
      </c>
      <c r="C232" s="100"/>
      <c r="D232" s="101"/>
      <c r="E232" s="102"/>
    </row>
    <row r="233" spans="1:5" x14ac:dyDescent="0.2">
      <c r="A233" s="98"/>
      <c r="B233" s="99">
        <f t="shared" si="4"/>
        <v>0</v>
      </c>
      <c r="C233" s="100"/>
      <c r="D233" s="101"/>
      <c r="E233" s="102"/>
    </row>
    <row r="234" spans="1:5" x14ac:dyDescent="0.2">
      <c r="A234" s="98"/>
      <c r="B234" s="99">
        <f t="shared" si="4"/>
        <v>0</v>
      </c>
      <c r="C234" s="100"/>
      <c r="D234" s="101"/>
      <c r="E234" s="102"/>
    </row>
    <row r="235" spans="1:5" x14ac:dyDescent="0.2">
      <c r="A235" s="98"/>
      <c r="B235" s="99">
        <f t="shared" si="4"/>
        <v>0</v>
      </c>
      <c r="C235" s="100"/>
      <c r="D235" s="101"/>
      <c r="E235" s="102"/>
    </row>
    <row r="236" spans="1:5" x14ac:dyDescent="0.2">
      <c r="A236" s="98"/>
      <c r="B236" s="99">
        <f t="shared" si="4"/>
        <v>0</v>
      </c>
      <c r="C236" s="100"/>
      <c r="D236" s="101"/>
      <c r="E236" s="102"/>
    </row>
    <row r="237" spans="1:5" x14ac:dyDescent="0.2">
      <c r="A237" s="98"/>
      <c r="B237" s="99">
        <f t="shared" si="4"/>
        <v>0</v>
      </c>
      <c r="C237" s="100"/>
      <c r="D237" s="101"/>
      <c r="E237" s="102"/>
    </row>
    <row r="238" spans="1:5" x14ac:dyDescent="0.2">
      <c r="A238" s="98"/>
      <c r="B238" s="99">
        <f t="shared" si="4"/>
        <v>0</v>
      </c>
      <c r="C238" s="100"/>
      <c r="D238" s="101"/>
      <c r="E238" s="102"/>
    </row>
    <row r="239" spans="1:5" x14ac:dyDescent="0.2">
      <c r="A239" s="98"/>
      <c r="B239" s="99">
        <f t="shared" si="4"/>
        <v>0</v>
      </c>
      <c r="C239" s="100"/>
      <c r="D239" s="101"/>
      <c r="E239" s="102"/>
    </row>
    <row r="240" spans="1:5" x14ac:dyDescent="0.2">
      <c r="A240" s="98"/>
      <c r="B240" s="99">
        <f t="shared" si="4"/>
        <v>0</v>
      </c>
      <c r="C240" s="100"/>
      <c r="D240" s="101"/>
      <c r="E240" s="102"/>
    </row>
    <row r="241" spans="1:5" x14ac:dyDescent="0.2">
      <c r="A241" s="98"/>
      <c r="B241" s="99">
        <f t="shared" si="4"/>
        <v>0</v>
      </c>
      <c r="C241" s="100"/>
      <c r="D241" s="101"/>
      <c r="E241" s="102"/>
    </row>
    <row r="242" spans="1:5" x14ac:dyDescent="0.2">
      <c r="A242" s="98"/>
      <c r="B242" s="99">
        <f t="shared" si="4"/>
        <v>0</v>
      </c>
      <c r="C242" s="100"/>
      <c r="D242" s="101"/>
      <c r="E242" s="102"/>
    </row>
    <row r="243" spans="1:5" x14ac:dyDescent="0.2">
      <c r="A243" s="98"/>
      <c r="B243" s="99">
        <f t="shared" si="4"/>
        <v>0</v>
      </c>
      <c r="C243" s="100"/>
      <c r="D243" s="101"/>
      <c r="E243" s="102"/>
    </row>
    <row r="244" spans="1:5" x14ac:dyDescent="0.2">
      <c r="A244" s="98"/>
      <c r="B244" s="99">
        <f t="shared" si="4"/>
        <v>0</v>
      </c>
      <c r="C244" s="100"/>
      <c r="D244" s="101"/>
      <c r="E244" s="102"/>
    </row>
    <row r="245" spans="1:5" x14ac:dyDescent="0.2">
      <c r="A245" s="98"/>
      <c r="B245" s="99">
        <f t="shared" si="4"/>
        <v>0</v>
      </c>
      <c r="C245" s="100"/>
      <c r="D245" s="101"/>
      <c r="E245" s="102"/>
    </row>
    <row r="246" spans="1:5" x14ac:dyDescent="0.2">
      <c r="A246" s="98"/>
      <c r="B246" s="99">
        <f t="shared" si="4"/>
        <v>0</v>
      </c>
      <c r="C246" s="100"/>
      <c r="D246" s="101"/>
      <c r="E246" s="102"/>
    </row>
    <row r="247" spans="1:5" x14ac:dyDescent="0.2">
      <c r="A247" s="98"/>
      <c r="B247" s="99">
        <f t="shared" si="4"/>
        <v>0</v>
      </c>
      <c r="C247" s="100"/>
      <c r="D247" s="101"/>
      <c r="E247" s="102"/>
    </row>
    <row r="248" spans="1:5" x14ac:dyDescent="0.2">
      <c r="A248" s="98"/>
      <c r="B248" s="99">
        <f t="shared" si="4"/>
        <v>0</v>
      </c>
      <c r="C248" s="100"/>
      <c r="D248" s="101"/>
      <c r="E248" s="102"/>
    </row>
    <row r="249" spans="1:5" x14ac:dyDescent="0.2">
      <c r="A249" s="98"/>
      <c r="B249" s="99">
        <f t="shared" si="4"/>
        <v>0</v>
      </c>
      <c r="C249" s="100"/>
      <c r="D249" s="101"/>
      <c r="E249" s="102"/>
    </row>
    <row r="250" spans="1:5" x14ac:dyDescent="0.2">
      <c r="A250" s="98"/>
      <c r="B250" s="99">
        <f t="shared" si="4"/>
        <v>0</v>
      </c>
      <c r="C250" s="100"/>
      <c r="D250" s="101"/>
      <c r="E250" s="102"/>
    </row>
    <row r="251" spans="1:5" x14ac:dyDescent="0.2">
      <c r="A251" s="98"/>
      <c r="B251" s="99">
        <f t="shared" si="4"/>
        <v>0</v>
      </c>
      <c r="C251" s="100"/>
      <c r="D251" s="101"/>
      <c r="E251" s="102"/>
    </row>
    <row r="252" spans="1:5" x14ac:dyDescent="0.2">
      <c r="A252" s="98"/>
      <c r="B252" s="99">
        <f t="shared" si="4"/>
        <v>0</v>
      </c>
      <c r="C252" s="100"/>
      <c r="D252" s="101"/>
      <c r="E252" s="102"/>
    </row>
    <row r="253" spans="1:5" x14ac:dyDescent="0.2">
      <c r="A253" s="98"/>
      <c r="B253" s="99">
        <f t="shared" si="4"/>
        <v>0</v>
      </c>
      <c r="C253" s="100"/>
      <c r="D253" s="101"/>
      <c r="E253" s="102"/>
    </row>
    <row r="254" spans="1:5" x14ac:dyDescent="0.2">
      <c r="A254" s="98"/>
      <c r="B254" s="99">
        <f t="shared" si="4"/>
        <v>0</v>
      </c>
      <c r="C254" s="100"/>
      <c r="D254" s="101"/>
      <c r="E254" s="102"/>
    </row>
    <row r="255" spans="1:5" x14ac:dyDescent="0.2">
      <c r="A255" s="98"/>
      <c r="B255" s="99">
        <f t="shared" si="4"/>
        <v>0</v>
      </c>
      <c r="C255" s="100"/>
      <c r="D255" s="101"/>
      <c r="E255" s="102"/>
    </row>
    <row r="256" spans="1:5" x14ac:dyDescent="0.2">
      <c r="A256" s="98"/>
      <c r="B256" s="99">
        <f t="shared" si="4"/>
        <v>0</v>
      </c>
      <c r="C256" s="100"/>
      <c r="D256" s="101"/>
      <c r="E256" s="102"/>
    </row>
    <row r="257" spans="1:5" x14ac:dyDescent="0.2">
      <c r="A257" s="98"/>
      <c r="B257" s="99">
        <f t="shared" si="4"/>
        <v>0</v>
      </c>
      <c r="C257" s="100"/>
      <c r="D257" s="101"/>
      <c r="E257" s="102"/>
    </row>
    <row r="258" spans="1:5" x14ac:dyDescent="0.2">
      <c r="A258" s="98"/>
      <c r="B258" s="99">
        <f t="shared" si="4"/>
        <v>0</v>
      </c>
      <c r="C258" s="100"/>
      <c r="D258" s="101"/>
      <c r="E258" s="102"/>
    </row>
    <row r="259" spans="1:5" x14ac:dyDescent="0.2">
      <c r="A259" s="98"/>
      <c r="B259" s="99">
        <f t="shared" si="4"/>
        <v>0</v>
      </c>
      <c r="C259" s="100"/>
      <c r="D259" s="101"/>
      <c r="E259" s="102"/>
    </row>
    <row r="260" spans="1:5" x14ac:dyDescent="0.2">
      <c r="A260" s="98"/>
      <c r="B260" s="99">
        <f t="shared" si="4"/>
        <v>0</v>
      </c>
      <c r="C260" s="100"/>
      <c r="D260" s="101"/>
      <c r="E260" s="102"/>
    </row>
    <row r="261" spans="1:5" x14ac:dyDescent="0.2">
      <c r="A261" s="98"/>
      <c r="B261" s="99">
        <f t="shared" si="4"/>
        <v>0</v>
      </c>
      <c r="C261" s="100"/>
      <c r="D261" s="101"/>
      <c r="E261" s="102"/>
    </row>
    <row r="262" spans="1:5" x14ac:dyDescent="0.2">
      <c r="A262" s="98"/>
      <c r="B262" s="99">
        <f t="shared" si="4"/>
        <v>0</v>
      </c>
      <c r="C262" s="100"/>
      <c r="D262" s="101"/>
      <c r="E262" s="102"/>
    </row>
    <row r="263" spans="1:5" x14ac:dyDescent="0.2">
      <c r="A263" s="98"/>
      <c r="B263" s="99">
        <f t="shared" ref="B263:B326" si="5">WEEKNUM(A263,1)</f>
        <v>0</v>
      </c>
      <c r="C263" s="100"/>
      <c r="D263" s="101"/>
      <c r="E263" s="102"/>
    </row>
    <row r="264" spans="1:5" x14ac:dyDescent="0.2">
      <c r="A264" s="98"/>
      <c r="B264" s="99">
        <f t="shared" si="5"/>
        <v>0</v>
      </c>
      <c r="C264" s="100"/>
      <c r="D264" s="101"/>
      <c r="E264" s="102"/>
    </row>
    <row r="265" spans="1:5" x14ac:dyDescent="0.2">
      <c r="A265" s="98"/>
      <c r="B265" s="99">
        <f t="shared" si="5"/>
        <v>0</v>
      </c>
      <c r="C265" s="100"/>
      <c r="D265" s="101"/>
      <c r="E265" s="102"/>
    </row>
    <row r="266" spans="1:5" x14ac:dyDescent="0.2">
      <c r="A266" s="98"/>
      <c r="B266" s="99">
        <f t="shared" si="5"/>
        <v>0</v>
      </c>
      <c r="C266" s="100"/>
      <c r="D266" s="101"/>
      <c r="E266" s="102"/>
    </row>
    <row r="267" spans="1:5" x14ac:dyDescent="0.2">
      <c r="A267" s="98"/>
      <c r="B267" s="99">
        <f t="shared" si="5"/>
        <v>0</v>
      </c>
      <c r="C267" s="100"/>
      <c r="D267" s="101"/>
      <c r="E267" s="102"/>
    </row>
    <row r="268" spans="1:5" x14ac:dyDescent="0.2">
      <c r="A268" s="98"/>
      <c r="B268" s="99">
        <f t="shared" si="5"/>
        <v>0</v>
      </c>
      <c r="C268" s="100"/>
      <c r="D268" s="101"/>
      <c r="E268" s="102"/>
    </row>
    <row r="269" spans="1:5" x14ac:dyDescent="0.2">
      <c r="A269" s="98"/>
      <c r="B269" s="99">
        <f t="shared" si="5"/>
        <v>0</v>
      </c>
      <c r="C269" s="100"/>
      <c r="D269" s="101"/>
      <c r="E269" s="102"/>
    </row>
    <row r="270" spans="1:5" x14ac:dyDescent="0.2">
      <c r="A270" s="98"/>
      <c r="B270" s="99">
        <f t="shared" si="5"/>
        <v>0</v>
      </c>
      <c r="C270" s="100"/>
      <c r="D270" s="101"/>
      <c r="E270" s="102"/>
    </row>
    <row r="271" spans="1:5" x14ac:dyDescent="0.2">
      <c r="A271" s="98"/>
      <c r="B271" s="99">
        <f t="shared" si="5"/>
        <v>0</v>
      </c>
      <c r="C271" s="100"/>
      <c r="D271" s="101"/>
      <c r="E271" s="102"/>
    </row>
    <row r="272" spans="1:5" x14ac:dyDescent="0.2">
      <c r="A272" s="98"/>
      <c r="B272" s="99">
        <f t="shared" si="5"/>
        <v>0</v>
      </c>
      <c r="C272" s="100"/>
      <c r="D272" s="101"/>
      <c r="E272" s="102"/>
    </row>
    <row r="273" spans="1:5" x14ac:dyDescent="0.2">
      <c r="A273" s="98"/>
      <c r="B273" s="99">
        <f t="shared" si="5"/>
        <v>0</v>
      </c>
      <c r="C273" s="100"/>
      <c r="D273" s="101"/>
      <c r="E273" s="102"/>
    </row>
    <row r="274" spans="1:5" x14ac:dyDescent="0.2">
      <c r="A274" s="98"/>
      <c r="B274" s="99">
        <f t="shared" si="5"/>
        <v>0</v>
      </c>
      <c r="C274" s="100"/>
      <c r="D274" s="101"/>
      <c r="E274" s="102"/>
    </row>
    <row r="275" spans="1:5" x14ac:dyDescent="0.2">
      <c r="A275" s="98"/>
      <c r="B275" s="99">
        <f t="shared" si="5"/>
        <v>0</v>
      </c>
      <c r="C275" s="100"/>
      <c r="D275" s="101"/>
      <c r="E275" s="102"/>
    </row>
    <row r="276" spans="1:5" x14ac:dyDescent="0.2">
      <c r="A276" s="98"/>
      <c r="B276" s="99">
        <f t="shared" si="5"/>
        <v>0</v>
      </c>
      <c r="C276" s="100"/>
      <c r="D276" s="101"/>
      <c r="E276" s="102"/>
    </row>
    <row r="277" spans="1:5" x14ac:dyDescent="0.2">
      <c r="A277" s="98"/>
      <c r="B277" s="99">
        <f t="shared" si="5"/>
        <v>0</v>
      </c>
      <c r="C277" s="100"/>
      <c r="D277" s="101"/>
      <c r="E277" s="102"/>
    </row>
    <row r="278" spans="1:5" x14ac:dyDescent="0.2">
      <c r="A278" s="98"/>
      <c r="B278" s="99">
        <f t="shared" si="5"/>
        <v>0</v>
      </c>
      <c r="C278" s="100"/>
      <c r="D278" s="101"/>
      <c r="E278" s="102"/>
    </row>
    <row r="279" spans="1:5" x14ac:dyDescent="0.2">
      <c r="A279" s="98"/>
      <c r="B279" s="99">
        <f t="shared" si="5"/>
        <v>0</v>
      </c>
      <c r="C279" s="100"/>
      <c r="D279" s="101"/>
      <c r="E279" s="102"/>
    </row>
    <row r="280" spans="1:5" x14ac:dyDescent="0.2">
      <c r="A280" s="98"/>
      <c r="B280" s="99">
        <f t="shared" si="5"/>
        <v>0</v>
      </c>
      <c r="C280" s="100"/>
      <c r="D280" s="101"/>
      <c r="E280" s="102"/>
    </row>
    <row r="281" spans="1:5" x14ac:dyDescent="0.2">
      <c r="A281" s="98"/>
      <c r="B281" s="99">
        <f t="shared" si="5"/>
        <v>0</v>
      </c>
      <c r="C281" s="100"/>
      <c r="D281" s="101"/>
      <c r="E281" s="102"/>
    </row>
    <row r="282" spans="1:5" x14ac:dyDescent="0.2">
      <c r="A282" s="98"/>
      <c r="B282" s="99">
        <f t="shared" si="5"/>
        <v>0</v>
      </c>
      <c r="C282" s="100"/>
      <c r="D282" s="101"/>
      <c r="E282" s="102"/>
    </row>
    <row r="283" spans="1:5" x14ac:dyDescent="0.2">
      <c r="A283" s="98"/>
      <c r="B283" s="99">
        <f t="shared" si="5"/>
        <v>0</v>
      </c>
      <c r="C283" s="100"/>
      <c r="D283" s="101"/>
      <c r="E283" s="102"/>
    </row>
    <row r="284" spans="1:5" x14ac:dyDescent="0.2">
      <c r="A284" s="98"/>
      <c r="B284" s="99">
        <f t="shared" si="5"/>
        <v>0</v>
      </c>
      <c r="C284" s="100"/>
      <c r="D284" s="101"/>
      <c r="E284" s="102"/>
    </row>
    <row r="285" spans="1:5" x14ac:dyDescent="0.2">
      <c r="A285" s="98"/>
      <c r="B285" s="99">
        <f t="shared" si="5"/>
        <v>0</v>
      </c>
      <c r="C285" s="100"/>
      <c r="D285" s="101"/>
      <c r="E285" s="102"/>
    </row>
    <row r="286" spans="1:5" x14ac:dyDescent="0.2">
      <c r="A286" s="98"/>
      <c r="B286" s="99">
        <f t="shared" si="5"/>
        <v>0</v>
      </c>
      <c r="C286" s="100"/>
      <c r="D286" s="101"/>
      <c r="E286" s="102"/>
    </row>
    <row r="287" spans="1:5" x14ac:dyDescent="0.2">
      <c r="A287" s="98"/>
      <c r="B287" s="99">
        <f t="shared" si="5"/>
        <v>0</v>
      </c>
      <c r="C287" s="100"/>
      <c r="D287" s="101"/>
      <c r="E287" s="102"/>
    </row>
    <row r="288" spans="1:5" x14ac:dyDescent="0.2">
      <c r="A288" s="98"/>
      <c r="B288" s="99">
        <f t="shared" si="5"/>
        <v>0</v>
      </c>
      <c r="C288" s="100"/>
      <c r="D288" s="101"/>
      <c r="E288" s="102"/>
    </row>
    <row r="289" spans="1:5" x14ac:dyDescent="0.2">
      <c r="A289" s="98"/>
      <c r="B289" s="99">
        <f t="shared" si="5"/>
        <v>0</v>
      </c>
      <c r="C289" s="100"/>
      <c r="D289" s="101"/>
      <c r="E289" s="102"/>
    </row>
    <row r="290" spans="1:5" x14ac:dyDescent="0.2">
      <c r="A290" s="98"/>
      <c r="B290" s="99">
        <f t="shared" si="5"/>
        <v>0</v>
      </c>
      <c r="C290" s="100"/>
      <c r="D290" s="101"/>
      <c r="E290" s="102"/>
    </row>
    <row r="291" spans="1:5" x14ac:dyDescent="0.2">
      <c r="A291" s="98"/>
      <c r="B291" s="99">
        <f t="shared" si="5"/>
        <v>0</v>
      </c>
      <c r="C291" s="100"/>
      <c r="D291" s="101"/>
      <c r="E291" s="102"/>
    </row>
    <row r="292" spans="1:5" x14ac:dyDescent="0.2">
      <c r="A292" s="98"/>
      <c r="B292" s="99">
        <f t="shared" si="5"/>
        <v>0</v>
      </c>
      <c r="C292" s="100"/>
      <c r="D292" s="101"/>
      <c r="E292" s="102"/>
    </row>
    <row r="293" spans="1:5" x14ac:dyDescent="0.2">
      <c r="A293" s="98"/>
      <c r="B293" s="99">
        <f t="shared" si="5"/>
        <v>0</v>
      </c>
      <c r="C293" s="100"/>
      <c r="D293" s="101"/>
      <c r="E293" s="102"/>
    </row>
    <row r="294" spans="1:5" x14ac:dyDescent="0.2">
      <c r="A294" s="98"/>
      <c r="B294" s="99">
        <f t="shared" si="5"/>
        <v>0</v>
      </c>
      <c r="C294" s="100"/>
      <c r="D294" s="101"/>
      <c r="E294" s="102"/>
    </row>
    <row r="295" spans="1:5" x14ac:dyDescent="0.2">
      <c r="A295" s="98"/>
      <c r="B295" s="99">
        <f t="shared" si="5"/>
        <v>0</v>
      </c>
      <c r="C295" s="100"/>
      <c r="D295" s="101"/>
      <c r="E295" s="102"/>
    </row>
    <row r="296" spans="1:5" x14ac:dyDescent="0.2">
      <c r="A296" s="98"/>
      <c r="B296" s="99">
        <f t="shared" si="5"/>
        <v>0</v>
      </c>
      <c r="C296" s="100"/>
      <c r="D296" s="101"/>
      <c r="E296" s="102"/>
    </row>
    <row r="297" spans="1:5" x14ac:dyDescent="0.2">
      <c r="A297" s="98"/>
      <c r="B297" s="99">
        <f t="shared" si="5"/>
        <v>0</v>
      </c>
      <c r="C297" s="100"/>
      <c r="D297" s="101"/>
      <c r="E297" s="102"/>
    </row>
    <row r="298" spans="1:5" x14ac:dyDescent="0.2">
      <c r="A298" s="98"/>
      <c r="B298" s="99">
        <f t="shared" si="5"/>
        <v>0</v>
      </c>
      <c r="C298" s="100"/>
      <c r="D298" s="101"/>
      <c r="E298" s="102"/>
    </row>
    <row r="299" spans="1:5" x14ac:dyDescent="0.2">
      <c r="A299" s="98"/>
      <c r="B299" s="99">
        <f t="shared" si="5"/>
        <v>0</v>
      </c>
      <c r="C299" s="100"/>
      <c r="D299" s="101"/>
      <c r="E299" s="102"/>
    </row>
    <row r="300" spans="1:5" x14ac:dyDescent="0.2">
      <c r="A300" s="98"/>
      <c r="B300" s="99">
        <f t="shared" si="5"/>
        <v>0</v>
      </c>
      <c r="C300" s="100"/>
      <c r="D300" s="101"/>
      <c r="E300" s="102"/>
    </row>
    <row r="301" spans="1:5" x14ac:dyDescent="0.2">
      <c r="A301" s="98"/>
      <c r="B301" s="99">
        <f t="shared" si="5"/>
        <v>0</v>
      </c>
      <c r="C301" s="100"/>
      <c r="D301" s="101"/>
      <c r="E301" s="102"/>
    </row>
    <row r="302" spans="1:5" x14ac:dyDescent="0.2">
      <c r="A302" s="98"/>
      <c r="B302" s="99">
        <f t="shared" si="5"/>
        <v>0</v>
      </c>
      <c r="C302" s="100"/>
      <c r="D302" s="101"/>
      <c r="E302" s="102"/>
    </row>
    <row r="303" spans="1:5" x14ac:dyDescent="0.2">
      <c r="A303" s="98"/>
      <c r="B303" s="99">
        <f t="shared" si="5"/>
        <v>0</v>
      </c>
      <c r="C303" s="100"/>
      <c r="D303" s="101"/>
      <c r="E303" s="102"/>
    </row>
    <row r="304" spans="1:5" x14ac:dyDescent="0.2">
      <c r="A304" s="98"/>
      <c r="B304" s="99">
        <f t="shared" si="5"/>
        <v>0</v>
      </c>
      <c r="C304" s="100"/>
      <c r="D304" s="101"/>
      <c r="E304" s="102"/>
    </row>
    <row r="305" spans="1:5" x14ac:dyDescent="0.2">
      <c r="A305" s="98"/>
      <c r="B305" s="99">
        <f t="shared" si="5"/>
        <v>0</v>
      </c>
      <c r="C305" s="100"/>
      <c r="D305" s="101"/>
      <c r="E305" s="102"/>
    </row>
    <row r="306" spans="1:5" x14ac:dyDescent="0.2">
      <c r="A306" s="98"/>
      <c r="B306" s="99">
        <f t="shared" si="5"/>
        <v>0</v>
      </c>
      <c r="C306" s="100"/>
      <c r="D306" s="101"/>
      <c r="E306" s="102"/>
    </row>
    <row r="307" spans="1:5" x14ac:dyDescent="0.2">
      <c r="A307" s="98"/>
      <c r="B307" s="99">
        <f t="shared" si="5"/>
        <v>0</v>
      </c>
      <c r="C307" s="100"/>
      <c r="D307" s="101"/>
      <c r="E307" s="102"/>
    </row>
    <row r="308" spans="1:5" x14ac:dyDescent="0.2">
      <c r="A308" s="98"/>
      <c r="B308" s="99">
        <f t="shared" si="5"/>
        <v>0</v>
      </c>
      <c r="C308" s="100"/>
      <c r="D308" s="101"/>
      <c r="E308" s="102"/>
    </row>
    <row r="309" spans="1:5" x14ac:dyDescent="0.2">
      <c r="A309" s="98"/>
      <c r="B309" s="99">
        <f t="shared" si="5"/>
        <v>0</v>
      </c>
      <c r="C309" s="100"/>
      <c r="D309" s="101"/>
      <c r="E309" s="102"/>
    </row>
    <row r="310" spans="1:5" x14ac:dyDescent="0.2">
      <c r="A310" s="98"/>
      <c r="B310" s="99">
        <f t="shared" si="5"/>
        <v>0</v>
      </c>
      <c r="C310" s="100"/>
      <c r="D310" s="101"/>
      <c r="E310" s="102"/>
    </row>
    <row r="311" spans="1:5" x14ac:dyDescent="0.2">
      <c r="A311" s="98"/>
      <c r="B311" s="99">
        <f t="shared" si="5"/>
        <v>0</v>
      </c>
      <c r="C311" s="100"/>
      <c r="D311" s="101"/>
      <c r="E311" s="102"/>
    </row>
    <row r="312" spans="1:5" x14ac:dyDescent="0.2">
      <c r="A312" s="98"/>
      <c r="B312" s="99">
        <f t="shared" si="5"/>
        <v>0</v>
      </c>
      <c r="C312" s="100"/>
      <c r="D312" s="101"/>
      <c r="E312" s="102"/>
    </row>
    <row r="313" spans="1:5" x14ac:dyDescent="0.2">
      <c r="A313" s="98"/>
      <c r="B313" s="99">
        <f t="shared" si="5"/>
        <v>0</v>
      </c>
      <c r="C313" s="100"/>
      <c r="D313" s="101"/>
      <c r="E313" s="102"/>
    </row>
    <row r="314" spans="1:5" x14ac:dyDescent="0.2">
      <c r="A314" s="98"/>
      <c r="B314" s="99">
        <f t="shared" si="5"/>
        <v>0</v>
      </c>
      <c r="C314" s="100"/>
      <c r="D314" s="101"/>
      <c r="E314" s="102"/>
    </row>
    <row r="315" spans="1:5" x14ac:dyDescent="0.2">
      <c r="A315" s="98"/>
      <c r="B315" s="99">
        <f t="shared" si="5"/>
        <v>0</v>
      </c>
      <c r="C315" s="100"/>
      <c r="D315" s="101"/>
      <c r="E315" s="102"/>
    </row>
    <row r="316" spans="1:5" x14ac:dyDescent="0.2">
      <c r="A316" s="98"/>
      <c r="B316" s="99">
        <f t="shared" si="5"/>
        <v>0</v>
      </c>
      <c r="C316" s="100"/>
      <c r="D316" s="101"/>
      <c r="E316" s="102"/>
    </row>
    <row r="317" spans="1:5" x14ac:dyDescent="0.2">
      <c r="A317" s="98"/>
      <c r="B317" s="99">
        <f t="shared" si="5"/>
        <v>0</v>
      </c>
      <c r="C317" s="100"/>
      <c r="D317" s="101"/>
      <c r="E317" s="102"/>
    </row>
    <row r="318" spans="1:5" x14ac:dyDescent="0.2">
      <c r="A318" s="98"/>
      <c r="B318" s="99">
        <f t="shared" si="5"/>
        <v>0</v>
      </c>
      <c r="C318" s="100"/>
      <c r="D318" s="101"/>
      <c r="E318" s="102"/>
    </row>
    <row r="319" spans="1:5" x14ac:dyDescent="0.2">
      <c r="A319" s="98"/>
      <c r="B319" s="99">
        <f t="shared" si="5"/>
        <v>0</v>
      </c>
      <c r="C319" s="100"/>
      <c r="D319" s="101"/>
      <c r="E319" s="102"/>
    </row>
    <row r="320" spans="1:5" x14ac:dyDescent="0.2">
      <c r="A320" s="98"/>
      <c r="B320" s="99">
        <f t="shared" si="5"/>
        <v>0</v>
      </c>
      <c r="C320" s="100"/>
      <c r="D320" s="101"/>
      <c r="E320" s="102"/>
    </row>
    <row r="321" spans="1:5" x14ac:dyDescent="0.2">
      <c r="A321" s="98"/>
      <c r="B321" s="99">
        <f t="shared" si="5"/>
        <v>0</v>
      </c>
      <c r="C321" s="100"/>
      <c r="D321" s="101"/>
      <c r="E321" s="102"/>
    </row>
    <row r="322" spans="1:5" x14ac:dyDescent="0.2">
      <c r="A322" s="98"/>
      <c r="B322" s="99">
        <f t="shared" si="5"/>
        <v>0</v>
      </c>
      <c r="C322" s="100"/>
      <c r="D322" s="101"/>
      <c r="E322" s="102"/>
    </row>
    <row r="323" spans="1:5" x14ac:dyDescent="0.2">
      <c r="A323" s="98"/>
      <c r="B323" s="99">
        <f t="shared" si="5"/>
        <v>0</v>
      </c>
      <c r="C323" s="100"/>
      <c r="D323" s="101"/>
      <c r="E323" s="102"/>
    </row>
    <row r="324" spans="1:5" x14ac:dyDescent="0.2">
      <c r="A324" s="98"/>
      <c r="B324" s="99">
        <f t="shared" si="5"/>
        <v>0</v>
      </c>
      <c r="C324" s="100"/>
      <c r="D324" s="101"/>
      <c r="E324" s="102"/>
    </row>
    <row r="325" spans="1:5" x14ac:dyDescent="0.2">
      <c r="A325" s="98"/>
      <c r="B325" s="99">
        <f t="shared" si="5"/>
        <v>0</v>
      </c>
      <c r="C325" s="100"/>
      <c r="D325" s="101"/>
      <c r="E325" s="102"/>
    </row>
    <row r="326" spans="1:5" x14ac:dyDescent="0.2">
      <c r="A326" s="98"/>
      <c r="B326" s="99">
        <f t="shared" si="5"/>
        <v>0</v>
      </c>
      <c r="C326" s="100"/>
      <c r="D326" s="101"/>
      <c r="E326" s="102"/>
    </row>
    <row r="327" spans="1:5" x14ac:dyDescent="0.2">
      <c r="A327" s="98"/>
      <c r="B327" s="99">
        <f t="shared" ref="B327:B390" si="6">WEEKNUM(A327,1)</f>
        <v>0</v>
      </c>
      <c r="C327" s="100"/>
      <c r="D327" s="101"/>
      <c r="E327" s="102"/>
    </row>
    <row r="328" spans="1:5" x14ac:dyDescent="0.2">
      <c r="A328" s="98"/>
      <c r="B328" s="99">
        <f t="shared" si="6"/>
        <v>0</v>
      </c>
      <c r="C328" s="100"/>
      <c r="D328" s="101"/>
      <c r="E328" s="102"/>
    </row>
    <row r="329" spans="1:5" x14ac:dyDescent="0.2">
      <c r="A329" s="98"/>
      <c r="B329" s="99">
        <f t="shared" si="6"/>
        <v>0</v>
      </c>
      <c r="C329" s="100"/>
      <c r="D329" s="101"/>
      <c r="E329" s="102"/>
    </row>
    <row r="330" spans="1:5" x14ac:dyDescent="0.2">
      <c r="A330" s="98"/>
      <c r="B330" s="99">
        <f t="shared" si="6"/>
        <v>0</v>
      </c>
      <c r="C330" s="100"/>
      <c r="D330" s="101"/>
      <c r="E330" s="102"/>
    </row>
    <row r="331" spans="1:5" x14ac:dyDescent="0.2">
      <c r="A331" s="98"/>
      <c r="B331" s="99">
        <f t="shared" si="6"/>
        <v>0</v>
      </c>
      <c r="C331" s="100"/>
      <c r="D331" s="101"/>
      <c r="E331" s="102"/>
    </row>
    <row r="332" spans="1:5" x14ac:dyDescent="0.2">
      <c r="A332" s="98"/>
      <c r="B332" s="99">
        <f t="shared" si="6"/>
        <v>0</v>
      </c>
      <c r="C332" s="100"/>
      <c r="D332" s="101"/>
      <c r="E332" s="102"/>
    </row>
    <row r="333" spans="1:5" x14ac:dyDescent="0.2">
      <c r="A333" s="98"/>
      <c r="B333" s="99">
        <f t="shared" si="6"/>
        <v>0</v>
      </c>
      <c r="C333" s="100"/>
      <c r="D333" s="101"/>
      <c r="E333" s="102"/>
    </row>
    <row r="334" spans="1:5" x14ac:dyDescent="0.2">
      <c r="A334" s="98"/>
      <c r="B334" s="99">
        <f t="shared" si="6"/>
        <v>0</v>
      </c>
      <c r="C334" s="100"/>
      <c r="D334" s="101"/>
      <c r="E334" s="102"/>
    </row>
    <row r="335" spans="1:5" x14ac:dyDescent="0.2">
      <c r="A335" s="98"/>
      <c r="B335" s="99">
        <f t="shared" si="6"/>
        <v>0</v>
      </c>
      <c r="C335" s="100"/>
      <c r="D335" s="101"/>
      <c r="E335" s="102"/>
    </row>
    <row r="336" spans="1:5" x14ac:dyDescent="0.2">
      <c r="A336" s="98"/>
      <c r="B336" s="99">
        <f t="shared" si="6"/>
        <v>0</v>
      </c>
      <c r="C336" s="100"/>
      <c r="D336" s="101"/>
      <c r="E336" s="102"/>
    </row>
    <row r="337" spans="1:5" x14ac:dyDescent="0.2">
      <c r="A337" s="98"/>
      <c r="B337" s="99">
        <f t="shared" si="6"/>
        <v>0</v>
      </c>
      <c r="C337" s="100"/>
      <c r="D337" s="101"/>
      <c r="E337" s="102"/>
    </row>
    <row r="338" spans="1:5" x14ac:dyDescent="0.2">
      <c r="A338" s="98"/>
      <c r="B338" s="99">
        <f t="shared" si="6"/>
        <v>0</v>
      </c>
      <c r="C338" s="100"/>
      <c r="D338" s="101"/>
      <c r="E338" s="102"/>
    </row>
    <row r="339" spans="1:5" x14ac:dyDescent="0.2">
      <c r="A339" s="98"/>
      <c r="B339" s="99">
        <f t="shared" si="6"/>
        <v>0</v>
      </c>
      <c r="C339" s="100"/>
      <c r="D339" s="101"/>
      <c r="E339" s="102"/>
    </row>
    <row r="340" spans="1:5" x14ac:dyDescent="0.2">
      <c r="A340" s="98"/>
      <c r="B340" s="99">
        <f t="shared" si="6"/>
        <v>0</v>
      </c>
      <c r="C340" s="100"/>
      <c r="D340" s="101"/>
      <c r="E340" s="102"/>
    </row>
    <row r="341" spans="1:5" x14ac:dyDescent="0.2">
      <c r="A341" s="98"/>
      <c r="B341" s="99">
        <f t="shared" si="6"/>
        <v>0</v>
      </c>
      <c r="C341" s="100"/>
      <c r="D341" s="101"/>
      <c r="E341" s="102"/>
    </row>
    <row r="342" spans="1:5" x14ac:dyDescent="0.2">
      <c r="A342" s="98"/>
      <c r="B342" s="99">
        <f t="shared" si="6"/>
        <v>0</v>
      </c>
      <c r="C342" s="100"/>
      <c r="D342" s="101"/>
      <c r="E342" s="102"/>
    </row>
    <row r="343" spans="1:5" x14ac:dyDescent="0.2">
      <c r="A343" s="98"/>
      <c r="B343" s="99">
        <f t="shared" si="6"/>
        <v>0</v>
      </c>
      <c r="C343" s="100"/>
      <c r="D343" s="101"/>
      <c r="E343" s="102"/>
    </row>
    <row r="344" spans="1:5" x14ac:dyDescent="0.2">
      <c r="A344" s="98"/>
      <c r="B344" s="99">
        <f t="shared" si="6"/>
        <v>0</v>
      </c>
      <c r="C344" s="100"/>
      <c r="D344" s="101"/>
      <c r="E344" s="102"/>
    </row>
    <row r="345" spans="1:5" x14ac:dyDescent="0.2">
      <c r="A345" s="98"/>
      <c r="B345" s="99">
        <f t="shared" si="6"/>
        <v>0</v>
      </c>
      <c r="C345" s="100"/>
      <c r="D345" s="101"/>
      <c r="E345" s="102"/>
    </row>
    <row r="346" spans="1:5" x14ac:dyDescent="0.2">
      <c r="A346" s="98"/>
      <c r="B346" s="99">
        <f t="shared" si="6"/>
        <v>0</v>
      </c>
      <c r="C346" s="100"/>
      <c r="D346" s="101"/>
      <c r="E346" s="102"/>
    </row>
    <row r="347" spans="1:5" x14ac:dyDescent="0.2">
      <c r="A347" s="98"/>
      <c r="B347" s="99">
        <f t="shared" si="6"/>
        <v>0</v>
      </c>
      <c r="C347" s="100"/>
      <c r="D347" s="101"/>
      <c r="E347" s="102"/>
    </row>
    <row r="348" spans="1:5" x14ac:dyDescent="0.2">
      <c r="A348" s="98"/>
      <c r="B348" s="99">
        <f t="shared" si="6"/>
        <v>0</v>
      </c>
      <c r="C348" s="100"/>
      <c r="D348" s="101"/>
      <c r="E348" s="102"/>
    </row>
    <row r="349" spans="1:5" x14ac:dyDescent="0.2">
      <c r="A349" s="98"/>
      <c r="B349" s="99">
        <f t="shared" si="6"/>
        <v>0</v>
      </c>
      <c r="C349" s="100"/>
      <c r="D349" s="101"/>
      <c r="E349" s="102"/>
    </row>
    <row r="350" spans="1:5" x14ac:dyDescent="0.2">
      <c r="A350" s="98"/>
      <c r="B350" s="99">
        <f t="shared" si="6"/>
        <v>0</v>
      </c>
      <c r="C350" s="100"/>
      <c r="D350" s="101"/>
      <c r="E350" s="102"/>
    </row>
    <row r="351" spans="1:5" x14ac:dyDescent="0.2">
      <c r="A351" s="98"/>
      <c r="B351" s="99">
        <f t="shared" si="6"/>
        <v>0</v>
      </c>
      <c r="C351" s="100"/>
      <c r="D351" s="101"/>
      <c r="E351" s="102"/>
    </row>
    <row r="352" spans="1:5" x14ac:dyDescent="0.2">
      <c r="A352" s="98"/>
      <c r="B352" s="99">
        <f t="shared" si="6"/>
        <v>0</v>
      </c>
      <c r="C352" s="100"/>
      <c r="D352" s="101"/>
      <c r="E352" s="102"/>
    </row>
    <row r="353" spans="1:5" x14ac:dyDescent="0.2">
      <c r="A353" s="98"/>
      <c r="B353" s="99">
        <f t="shared" si="6"/>
        <v>0</v>
      </c>
      <c r="C353" s="100"/>
      <c r="D353" s="101"/>
      <c r="E353" s="102"/>
    </row>
    <row r="354" spans="1:5" x14ac:dyDescent="0.2">
      <c r="A354" s="98"/>
      <c r="B354" s="99">
        <f t="shared" si="6"/>
        <v>0</v>
      </c>
      <c r="C354" s="100"/>
      <c r="D354" s="101"/>
      <c r="E354" s="102"/>
    </row>
    <row r="355" spans="1:5" x14ac:dyDescent="0.2">
      <c r="A355" s="98"/>
      <c r="B355" s="99">
        <f t="shared" si="6"/>
        <v>0</v>
      </c>
      <c r="C355" s="100"/>
      <c r="D355" s="101"/>
      <c r="E355" s="102"/>
    </row>
    <row r="356" spans="1:5" x14ac:dyDescent="0.2">
      <c r="A356" s="98"/>
      <c r="B356" s="99">
        <f t="shared" si="6"/>
        <v>0</v>
      </c>
      <c r="C356" s="100"/>
      <c r="D356" s="101"/>
      <c r="E356" s="102"/>
    </row>
    <row r="357" spans="1:5" x14ac:dyDescent="0.2">
      <c r="A357" s="98"/>
      <c r="B357" s="99">
        <f t="shared" si="6"/>
        <v>0</v>
      </c>
      <c r="C357" s="100"/>
      <c r="D357" s="101"/>
      <c r="E357" s="102"/>
    </row>
    <row r="358" spans="1:5" x14ac:dyDescent="0.2">
      <c r="A358" s="98"/>
      <c r="B358" s="99">
        <f t="shared" si="6"/>
        <v>0</v>
      </c>
      <c r="C358" s="100"/>
      <c r="D358" s="101"/>
      <c r="E358" s="102"/>
    </row>
    <row r="359" spans="1:5" x14ac:dyDescent="0.2">
      <c r="A359" s="98"/>
      <c r="B359" s="99">
        <f t="shared" si="6"/>
        <v>0</v>
      </c>
      <c r="C359" s="100"/>
      <c r="D359" s="101"/>
      <c r="E359" s="102"/>
    </row>
    <row r="360" spans="1:5" x14ac:dyDescent="0.2">
      <c r="A360" s="98"/>
      <c r="B360" s="99">
        <f t="shared" si="6"/>
        <v>0</v>
      </c>
      <c r="C360" s="100"/>
      <c r="D360" s="101"/>
      <c r="E360" s="102"/>
    </row>
    <row r="361" spans="1:5" x14ac:dyDescent="0.2">
      <c r="A361" s="98"/>
      <c r="B361" s="99">
        <f t="shared" si="6"/>
        <v>0</v>
      </c>
      <c r="C361" s="100"/>
      <c r="D361" s="101"/>
      <c r="E361" s="102"/>
    </row>
    <row r="362" spans="1:5" x14ac:dyDescent="0.2">
      <c r="A362" s="98"/>
      <c r="B362" s="99">
        <f t="shared" si="6"/>
        <v>0</v>
      </c>
      <c r="C362" s="100"/>
      <c r="D362" s="101"/>
      <c r="E362" s="102"/>
    </row>
    <row r="363" spans="1:5" x14ac:dyDescent="0.2">
      <c r="A363" s="98"/>
      <c r="B363" s="99">
        <f t="shared" si="6"/>
        <v>0</v>
      </c>
      <c r="C363" s="100"/>
      <c r="D363" s="101"/>
      <c r="E363" s="102"/>
    </row>
    <row r="364" spans="1:5" x14ac:dyDescent="0.2">
      <c r="A364" s="98"/>
      <c r="B364" s="99">
        <f t="shared" si="6"/>
        <v>0</v>
      </c>
      <c r="C364" s="100"/>
      <c r="D364" s="101"/>
      <c r="E364" s="102"/>
    </row>
    <row r="365" spans="1:5" x14ac:dyDescent="0.2">
      <c r="A365" s="98"/>
      <c r="B365" s="99">
        <f t="shared" si="6"/>
        <v>0</v>
      </c>
      <c r="C365" s="100"/>
      <c r="D365" s="101"/>
      <c r="E365" s="102"/>
    </row>
    <row r="366" spans="1:5" x14ac:dyDescent="0.2">
      <c r="A366" s="98"/>
      <c r="B366" s="99">
        <f t="shared" si="6"/>
        <v>0</v>
      </c>
      <c r="C366" s="100"/>
      <c r="D366" s="101"/>
      <c r="E366" s="102"/>
    </row>
    <row r="367" spans="1:5" x14ac:dyDescent="0.2">
      <c r="A367" s="98"/>
      <c r="B367" s="99">
        <f t="shared" si="6"/>
        <v>0</v>
      </c>
      <c r="C367" s="100"/>
      <c r="D367" s="101"/>
      <c r="E367" s="102"/>
    </row>
    <row r="368" spans="1:5" x14ac:dyDescent="0.2">
      <c r="A368" s="98"/>
      <c r="B368" s="99">
        <f t="shared" si="6"/>
        <v>0</v>
      </c>
      <c r="C368" s="100"/>
      <c r="D368" s="101"/>
      <c r="E368" s="102"/>
    </row>
    <row r="369" spans="1:5" x14ac:dyDescent="0.2">
      <c r="A369" s="98"/>
      <c r="B369" s="99">
        <f t="shared" si="6"/>
        <v>0</v>
      </c>
      <c r="C369" s="100"/>
      <c r="D369" s="101"/>
      <c r="E369" s="102"/>
    </row>
    <row r="370" spans="1:5" x14ac:dyDescent="0.2">
      <c r="A370" s="98"/>
      <c r="B370" s="99">
        <f t="shared" si="6"/>
        <v>0</v>
      </c>
      <c r="C370" s="100"/>
      <c r="D370" s="101"/>
      <c r="E370" s="102"/>
    </row>
    <row r="371" spans="1:5" x14ac:dyDescent="0.2">
      <c r="A371" s="98"/>
      <c r="B371" s="99">
        <f t="shared" si="6"/>
        <v>0</v>
      </c>
      <c r="C371" s="100"/>
      <c r="D371" s="101"/>
      <c r="E371" s="102"/>
    </row>
    <row r="372" spans="1:5" x14ac:dyDescent="0.2">
      <c r="A372" s="98"/>
      <c r="B372" s="99">
        <f t="shared" si="6"/>
        <v>0</v>
      </c>
      <c r="C372" s="100"/>
      <c r="D372" s="101"/>
      <c r="E372" s="102"/>
    </row>
    <row r="373" spans="1:5" x14ac:dyDescent="0.2">
      <c r="A373" s="98"/>
      <c r="B373" s="99">
        <f t="shared" si="6"/>
        <v>0</v>
      </c>
      <c r="C373" s="100"/>
      <c r="D373" s="101"/>
      <c r="E373" s="102"/>
    </row>
    <row r="374" spans="1:5" x14ac:dyDescent="0.2">
      <c r="A374" s="98"/>
      <c r="B374" s="99">
        <f t="shared" si="6"/>
        <v>0</v>
      </c>
      <c r="C374" s="100"/>
      <c r="D374" s="101"/>
      <c r="E374" s="102"/>
    </row>
    <row r="375" spans="1:5" x14ac:dyDescent="0.2">
      <c r="A375" s="98"/>
      <c r="B375" s="99">
        <f t="shared" si="6"/>
        <v>0</v>
      </c>
      <c r="C375" s="100"/>
      <c r="D375" s="101"/>
      <c r="E375" s="102"/>
    </row>
    <row r="376" spans="1:5" x14ac:dyDescent="0.2">
      <c r="A376" s="98"/>
      <c r="B376" s="99">
        <f t="shared" si="6"/>
        <v>0</v>
      </c>
      <c r="C376" s="100"/>
      <c r="D376" s="101"/>
      <c r="E376" s="102"/>
    </row>
    <row r="377" spans="1:5" x14ac:dyDescent="0.2">
      <c r="A377" s="98"/>
      <c r="B377" s="99">
        <f t="shared" si="6"/>
        <v>0</v>
      </c>
      <c r="C377" s="100"/>
      <c r="D377" s="101"/>
      <c r="E377" s="102"/>
    </row>
    <row r="378" spans="1:5" x14ac:dyDescent="0.2">
      <c r="A378" s="98"/>
      <c r="B378" s="99">
        <f t="shared" si="6"/>
        <v>0</v>
      </c>
      <c r="C378" s="100"/>
      <c r="D378" s="101"/>
      <c r="E378" s="102"/>
    </row>
    <row r="379" spans="1:5" x14ac:dyDescent="0.2">
      <c r="A379" s="98"/>
      <c r="B379" s="99">
        <f t="shared" si="6"/>
        <v>0</v>
      </c>
      <c r="C379" s="100"/>
      <c r="D379" s="101"/>
      <c r="E379" s="102"/>
    </row>
    <row r="380" spans="1:5" x14ac:dyDescent="0.2">
      <c r="A380" s="98"/>
      <c r="B380" s="99">
        <f t="shared" si="6"/>
        <v>0</v>
      </c>
      <c r="C380" s="100"/>
      <c r="D380" s="101"/>
      <c r="E380" s="102"/>
    </row>
    <row r="381" spans="1:5" x14ac:dyDescent="0.2">
      <c r="A381" s="98"/>
      <c r="B381" s="99">
        <f t="shared" si="6"/>
        <v>0</v>
      </c>
      <c r="C381" s="100"/>
      <c r="D381" s="101"/>
      <c r="E381" s="102"/>
    </row>
    <row r="382" spans="1:5" x14ac:dyDescent="0.2">
      <c r="A382" s="98"/>
      <c r="B382" s="99">
        <f t="shared" si="6"/>
        <v>0</v>
      </c>
      <c r="C382" s="100"/>
      <c r="D382" s="101"/>
      <c r="E382" s="102"/>
    </row>
    <row r="383" spans="1:5" x14ac:dyDescent="0.2">
      <c r="A383" s="98"/>
      <c r="B383" s="99">
        <f t="shared" si="6"/>
        <v>0</v>
      </c>
      <c r="C383" s="100"/>
      <c r="D383" s="101"/>
      <c r="E383" s="102"/>
    </row>
    <row r="384" spans="1:5" x14ac:dyDescent="0.2">
      <c r="A384" s="98"/>
      <c r="B384" s="99">
        <f t="shared" si="6"/>
        <v>0</v>
      </c>
      <c r="C384" s="100"/>
      <c r="D384" s="101"/>
      <c r="E384" s="102"/>
    </row>
    <row r="385" spans="1:5" x14ac:dyDescent="0.2">
      <c r="A385" s="98"/>
      <c r="B385" s="99">
        <f t="shared" si="6"/>
        <v>0</v>
      </c>
      <c r="C385" s="100"/>
      <c r="D385" s="101"/>
      <c r="E385" s="102"/>
    </row>
    <row r="386" spans="1:5" x14ac:dyDescent="0.2">
      <c r="A386" s="98"/>
      <c r="B386" s="99">
        <f t="shared" si="6"/>
        <v>0</v>
      </c>
      <c r="C386" s="100"/>
      <c r="D386" s="101"/>
      <c r="E386" s="102"/>
    </row>
    <row r="387" spans="1:5" x14ac:dyDescent="0.2">
      <c r="A387" s="98"/>
      <c r="B387" s="99">
        <f t="shared" si="6"/>
        <v>0</v>
      </c>
      <c r="C387" s="100"/>
      <c r="D387" s="101"/>
      <c r="E387" s="102"/>
    </row>
    <row r="388" spans="1:5" x14ac:dyDescent="0.2">
      <c r="A388" s="98"/>
      <c r="B388" s="99">
        <f t="shared" si="6"/>
        <v>0</v>
      </c>
      <c r="C388" s="100"/>
      <c r="D388" s="101"/>
      <c r="E388" s="102"/>
    </row>
    <row r="389" spans="1:5" x14ac:dyDescent="0.2">
      <c r="A389" s="98"/>
      <c r="B389" s="99">
        <f t="shared" si="6"/>
        <v>0</v>
      </c>
      <c r="C389" s="100"/>
      <c r="D389" s="101"/>
      <c r="E389" s="102"/>
    </row>
    <row r="390" spans="1:5" x14ac:dyDescent="0.2">
      <c r="A390" s="98"/>
      <c r="B390" s="99">
        <f t="shared" si="6"/>
        <v>0</v>
      </c>
      <c r="C390" s="100"/>
      <c r="D390" s="101"/>
      <c r="E390" s="102"/>
    </row>
    <row r="391" spans="1:5" x14ac:dyDescent="0.2">
      <c r="A391" s="98"/>
      <c r="B391" s="99">
        <f t="shared" ref="B391:B454" si="7">WEEKNUM(A391,1)</f>
        <v>0</v>
      </c>
      <c r="C391" s="100"/>
      <c r="D391" s="101"/>
      <c r="E391" s="102"/>
    </row>
    <row r="392" spans="1:5" x14ac:dyDescent="0.2">
      <c r="A392" s="98"/>
      <c r="B392" s="99">
        <f t="shared" si="7"/>
        <v>0</v>
      </c>
      <c r="C392" s="100"/>
      <c r="D392" s="101"/>
      <c r="E392" s="102"/>
    </row>
    <row r="393" spans="1:5" x14ac:dyDescent="0.2">
      <c r="A393" s="98"/>
      <c r="B393" s="99">
        <f t="shared" si="7"/>
        <v>0</v>
      </c>
      <c r="C393" s="100"/>
      <c r="D393" s="101"/>
      <c r="E393" s="102"/>
    </row>
    <row r="394" spans="1:5" x14ac:dyDescent="0.2">
      <c r="A394" s="98"/>
      <c r="B394" s="99">
        <f t="shared" si="7"/>
        <v>0</v>
      </c>
      <c r="C394" s="100"/>
      <c r="D394" s="101"/>
      <c r="E394" s="102"/>
    </row>
    <row r="395" spans="1:5" x14ac:dyDescent="0.2">
      <c r="A395" s="98"/>
      <c r="B395" s="99">
        <f t="shared" si="7"/>
        <v>0</v>
      </c>
      <c r="C395" s="100"/>
      <c r="D395" s="101"/>
      <c r="E395" s="102"/>
    </row>
    <row r="396" spans="1:5" x14ac:dyDescent="0.2">
      <c r="A396" s="98"/>
      <c r="B396" s="99">
        <f t="shared" si="7"/>
        <v>0</v>
      </c>
      <c r="C396" s="100"/>
      <c r="D396" s="101"/>
      <c r="E396" s="102"/>
    </row>
    <row r="397" spans="1:5" x14ac:dyDescent="0.2">
      <c r="A397" s="98"/>
      <c r="B397" s="99">
        <f t="shared" si="7"/>
        <v>0</v>
      </c>
      <c r="C397" s="100"/>
      <c r="D397" s="101"/>
      <c r="E397" s="102"/>
    </row>
    <row r="398" spans="1:5" x14ac:dyDescent="0.2">
      <c r="A398" s="98"/>
      <c r="B398" s="99">
        <f t="shared" si="7"/>
        <v>0</v>
      </c>
      <c r="C398" s="100"/>
      <c r="D398" s="101"/>
      <c r="E398" s="102"/>
    </row>
    <row r="399" spans="1:5" x14ac:dyDescent="0.2">
      <c r="A399" s="98"/>
      <c r="B399" s="99">
        <f t="shared" si="7"/>
        <v>0</v>
      </c>
      <c r="C399" s="100"/>
      <c r="D399" s="101"/>
      <c r="E399" s="102"/>
    </row>
    <row r="400" spans="1:5" x14ac:dyDescent="0.2">
      <c r="A400" s="98"/>
      <c r="B400" s="99">
        <f t="shared" si="7"/>
        <v>0</v>
      </c>
      <c r="C400" s="100"/>
      <c r="D400" s="101"/>
      <c r="E400" s="102"/>
    </row>
    <row r="401" spans="1:5" x14ac:dyDescent="0.2">
      <c r="A401" s="98"/>
      <c r="B401" s="99">
        <f t="shared" si="7"/>
        <v>0</v>
      </c>
      <c r="C401" s="100"/>
      <c r="D401" s="101"/>
      <c r="E401" s="102"/>
    </row>
    <row r="402" spans="1:5" x14ac:dyDescent="0.2">
      <c r="A402" s="98"/>
      <c r="B402" s="99">
        <f t="shared" si="7"/>
        <v>0</v>
      </c>
      <c r="C402" s="100"/>
      <c r="D402" s="101"/>
      <c r="E402" s="102"/>
    </row>
    <row r="403" spans="1:5" x14ac:dyDescent="0.2">
      <c r="A403" s="98"/>
      <c r="B403" s="99">
        <f t="shared" si="7"/>
        <v>0</v>
      </c>
      <c r="C403" s="100"/>
      <c r="D403" s="101"/>
      <c r="E403" s="102"/>
    </row>
    <row r="404" spans="1:5" x14ac:dyDescent="0.2">
      <c r="A404" s="98"/>
      <c r="B404" s="99">
        <f t="shared" si="7"/>
        <v>0</v>
      </c>
      <c r="C404" s="100"/>
      <c r="D404" s="101"/>
      <c r="E404" s="102"/>
    </row>
    <row r="405" spans="1:5" x14ac:dyDescent="0.2">
      <c r="A405" s="98"/>
      <c r="B405" s="99">
        <f t="shared" si="7"/>
        <v>0</v>
      </c>
      <c r="C405" s="100"/>
      <c r="D405" s="101"/>
      <c r="E405" s="102"/>
    </row>
    <row r="406" spans="1:5" x14ac:dyDescent="0.2">
      <c r="A406" s="98"/>
      <c r="B406" s="99">
        <f t="shared" si="7"/>
        <v>0</v>
      </c>
      <c r="C406" s="100"/>
      <c r="D406" s="101"/>
      <c r="E406" s="102"/>
    </row>
    <row r="407" spans="1:5" x14ac:dyDescent="0.2">
      <c r="A407" s="98"/>
      <c r="B407" s="99">
        <f t="shared" si="7"/>
        <v>0</v>
      </c>
      <c r="C407" s="100"/>
      <c r="D407" s="101"/>
      <c r="E407" s="102"/>
    </row>
    <row r="408" spans="1:5" x14ac:dyDescent="0.2">
      <c r="A408" s="98"/>
      <c r="B408" s="99">
        <f t="shared" si="7"/>
        <v>0</v>
      </c>
      <c r="C408" s="100"/>
      <c r="D408" s="101"/>
      <c r="E408" s="102"/>
    </row>
    <row r="409" spans="1:5" x14ac:dyDescent="0.2">
      <c r="A409" s="98"/>
      <c r="B409" s="99">
        <f t="shared" si="7"/>
        <v>0</v>
      </c>
      <c r="C409" s="100"/>
      <c r="D409" s="101"/>
      <c r="E409" s="102"/>
    </row>
    <row r="410" spans="1:5" x14ac:dyDescent="0.2">
      <c r="A410" s="98"/>
      <c r="B410" s="99">
        <f t="shared" si="7"/>
        <v>0</v>
      </c>
      <c r="C410" s="100"/>
      <c r="D410" s="101"/>
      <c r="E410" s="102"/>
    </row>
    <row r="411" spans="1:5" x14ac:dyDescent="0.2">
      <c r="A411" s="98"/>
      <c r="B411" s="99">
        <f t="shared" si="7"/>
        <v>0</v>
      </c>
      <c r="C411" s="100"/>
      <c r="D411" s="101"/>
      <c r="E411" s="102"/>
    </row>
    <row r="412" spans="1:5" x14ac:dyDescent="0.2">
      <c r="A412" s="98"/>
      <c r="B412" s="99">
        <f t="shared" si="7"/>
        <v>0</v>
      </c>
      <c r="C412" s="100"/>
      <c r="D412" s="101"/>
      <c r="E412" s="102"/>
    </row>
    <row r="413" spans="1:5" x14ac:dyDescent="0.2">
      <c r="A413" s="98"/>
      <c r="B413" s="99">
        <f t="shared" si="7"/>
        <v>0</v>
      </c>
      <c r="C413" s="100"/>
      <c r="D413" s="101"/>
      <c r="E413" s="102"/>
    </row>
    <row r="414" spans="1:5" x14ac:dyDescent="0.2">
      <c r="A414" s="98"/>
      <c r="B414" s="99">
        <f t="shared" si="7"/>
        <v>0</v>
      </c>
      <c r="C414" s="100"/>
      <c r="D414" s="101"/>
      <c r="E414" s="102"/>
    </row>
    <row r="415" spans="1:5" x14ac:dyDescent="0.2">
      <c r="A415" s="98"/>
      <c r="B415" s="99">
        <f t="shared" si="7"/>
        <v>0</v>
      </c>
      <c r="C415" s="100"/>
      <c r="D415" s="101"/>
      <c r="E415" s="102"/>
    </row>
    <row r="416" spans="1:5" x14ac:dyDescent="0.2">
      <c r="A416" s="98"/>
      <c r="B416" s="99">
        <f t="shared" si="7"/>
        <v>0</v>
      </c>
      <c r="C416" s="100"/>
      <c r="D416" s="101"/>
      <c r="E416" s="102"/>
    </row>
    <row r="417" spans="1:5" x14ac:dyDescent="0.2">
      <c r="A417" s="98"/>
      <c r="B417" s="99">
        <f t="shared" si="7"/>
        <v>0</v>
      </c>
      <c r="C417" s="100"/>
      <c r="D417" s="101"/>
      <c r="E417" s="102"/>
    </row>
    <row r="418" spans="1:5" x14ac:dyDescent="0.2">
      <c r="A418" s="98"/>
      <c r="B418" s="99">
        <f t="shared" si="7"/>
        <v>0</v>
      </c>
      <c r="C418" s="100"/>
      <c r="D418" s="101"/>
      <c r="E418" s="102"/>
    </row>
    <row r="419" spans="1:5" x14ac:dyDescent="0.2">
      <c r="A419" s="98"/>
      <c r="B419" s="99">
        <f t="shared" si="7"/>
        <v>0</v>
      </c>
      <c r="C419" s="100"/>
      <c r="D419" s="101"/>
      <c r="E419" s="102"/>
    </row>
    <row r="420" spans="1:5" x14ac:dyDescent="0.2">
      <c r="A420" s="98"/>
      <c r="B420" s="99">
        <f t="shared" si="7"/>
        <v>0</v>
      </c>
      <c r="C420" s="100"/>
      <c r="D420" s="101"/>
      <c r="E420" s="102"/>
    </row>
    <row r="421" spans="1:5" x14ac:dyDescent="0.2">
      <c r="A421" s="98"/>
      <c r="B421" s="99">
        <f t="shared" si="7"/>
        <v>0</v>
      </c>
      <c r="C421" s="100"/>
      <c r="D421" s="101"/>
      <c r="E421" s="102"/>
    </row>
    <row r="422" spans="1:5" x14ac:dyDescent="0.2">
      <c r="A422" s="98"/>
      <c r="B422" s="99">
        <f t="shared" si="7"/>
        <v>0</v>
      </c>
      <c r="C422" s="100"/>
      <c r="D422" s="101"/>
      <c r="E422" s="102"/>
    </row>
    <row r="423" spans="1:5" x14ac:dyDescent="0.2">
      <c r="A423" s="98"/>
      <c r="B423" s="99">
        <f t="shared" si="7"/>
        <v>0</v>
      </c>
      <c r="C423" s="100"/>
      <c r="D423" s="101"/>
      <c r="E423" s="102"/>
    </row>
    <row r="424" spans="1:5" x14ac:dyDescent="0.2">
      <c r="A424" s="98"/>
      <c r="B424" s="99">
        <f t="shared" si="7"/>
        <v>0</v>
      </c>
      <c r="C424" s="100"/>
      <c r="D424" s="101"/>
      <c r="E424" s="102"/>
    </row>
    <row r="425" spans="1:5" x14ac:dyDescent="0.2">
      <c r="A425" s="98"/>
      <c r="B425" s="99">
        <f t="shared" si="7"/>
        <v>0</v>
      </c>
      <c r="C425" s="100"/>
      <c r="D425" s="101"/>
      <c r="E425" s="102"/>
    </row>
    <row r="426" spans="1:5" x14ac:dyDescent="0.2">
      <c r="A426" s="98"/>
      <c r="B426" s="99">
        <f t="shared" si="7"/>
        <v>0</v>
      </c>
      <c r="C426" s="100"/>
      <c r="D426" s="101"/>
      <c r="E426" s="102"/>
    </row>
    <row r="427" spans="1:5" x14ac:dyDescent="0.2">
      <c r="A427" s="98"/>
      <c r="B427" s="99">
        <f t="shared" si="7"/>
        <v>0</v>
      </c>
      <c r="C427" s="100"/>
      <c r="D427" s="101"/>
      <c r="E427" s="102"/>
    </row>
    <row r="428" spans="1:5" x14ac:dyDescent="0.2">
      <c r="A428" s="98"/>
      <c r="B428" s="99">
        <f t="shared" si="7"/>
        <v>0</v>
      </c>
      <c r="C428" s="100"/>
      <c r="D428" s="101"/>
      <c r="E428" s="102"/>
    </row>
    <row r="429" spans="1:5" x14ac:dyDescent="0.2">
      <c r="A429" s="98"/>
      <c r="B429" s="99">
        <f t="shared" si="7"/>
        <v>0</v>
      </c>
      <c r="C429" s="100"/>
      <c r="D429" s="101"/>
      <c r="E429" s="102"/>
    </row>
    <row r="430" spans="1:5" x14ac:dyDescent="0.2">
      <c r="A430" s="98"/>
      <c r="B430" s="99">
        <f t="shared" si="7"/>
        <v>0</v>
      </c>
      <c r="C430" s="100"/>
      <c r="D430" s="101"/>
      <c r="E430" s="102"/>
    </row>
    <row r="431" spans="1:5" x14ac:dyDescent="0.2">
      <c r="A431" s="98"/>
      <c r="B431" s="99">
        <f t="shared" si="7"/>
        <v>0</v>
      </c>
      <c r="C431" s="100"/>
      <c r="D431" s="101"/>
      <c r="E431" s="102"/>
    </row>
    <row r="432" spans="1:5" x14ac:dyDescent="0.2">
      <c r="A432" s="98"/>
      <c r="B432" s="99">
        <f t="shared" si="7"/>
        <v>0</v>
      </c>
      <c r="C432" s="100"/>
      <c r="D432" s="101"/>
      <c r="E432" s="102"/>
    </row>
    <row r="433" spans="1:5" x14ac:dyDescent="0.2">
      <c r="A433" s="98"/>
      <c r="B433" s="99">
        <f t="shared" si="7"/>
        <v>0</v>
      </c>
      <c r="C433" s="100"/>
      <c r="D433" s="101"/>
      <c r="E433" s="102"/>
    </row>
    <row r="434" spans="1:5" x14ac:dyDescent="0.2">
      <c r="A434" s="98"/>
      <c r="B434" s="99">
        <f t="shared" si="7"/>
        <v>0</v>
      </c>
      <c r="C434" s="100"/>
      <c r="D434" s="101"/>
      <c r="E434" s="102"/>
    </row>
    <row r="435" spans="1:5" x14ac:dyDescent="0.2">
      <c r="A435" s="98"/>
      <c r="B435" s="99">
        <f t="shared" si="7"/>
        <v>0</v>
      </c>
      <c r="C435" s="100"/>
      <c r="D435" s="101"/>
      <c r="E435" s="102"/>
    </row>
    <row r="436" spans="1:5" x14ac:dyDescent="0.2">
      <c r="A436" s="98"/>
      <c r="B436" s="99">
        <f t="shared" si="7"/>
        <v>0</v>
      </c>
      <c r="C436" s="100"/>
      <c r="D436" s="101"/>
      <c r="E436" s="102"/>
    </row>
    <row r="437" spans="1:5" x14ac:dyDescent="0.2">
      <c r="A437" s="98"/>
      <c r="B437" s="99">
        <f t="shared" si="7"/>
        <v>0</v>
      </c>
      <c r="C437" s="100"/>
      <c r="D437" s="101"/>
      <c r="E437" s="102"/>
    </row>
    <row r="438" spans="1:5" x14ac:dyDescent="0.2">
      <c r="A438" s="98"/>
      <c r="B438" s="99">
        <f t="shared" si="7"/>
        <v>0</v>
      </c>
      <c r="C438" s="100"/>
      <c r="D438" s="101"/>
      <c r="E438" s="102"/>
    </row>
    <row r="439" spans="1:5" x14ac:dyDescent="0.2">
      <c r="A439" s="98"/>
      <c r="B439" s="99">
        <f t="shared" si="7"/>
        <v>0</v>
      </c>
      <c r="C439" s="100"/>
      <c r="D439" s="101"/>
      <c r="E439" s="102"/>
    </row>
    <row r="440" spans="1:5" x14ac:dyDescent="0.2">
      <c r="A440" s="98"/>
      <c r="B440" s="99">
        <f t="shared" si="7"/>
        <v>0</v>
      </c>
      <c r="C440" s="100"/>
      <c r="D440" s="101"/>
      <c r="E440" s="102"/>
    </row>
    <row r="441" spans="1:5" x14ac:dyDescent="0.2">
      <c r="A441" s="98"/>
      <c r="B441" s="99">
        <f t="shared" si="7"/>
        <v>0</v>
      </c>
      <c r="C441" s="100"/>
      <c r="D441" s="101"/>
      <c r="E441" s="102"/>
    </row>
    <row r="442" spans="1:5" x14ac:dyDescent="0.2">
      <c r="A442" s="98"/>
      <c r="B442" s="99">
        <f t="shared" si="7"/>
        <v>0</v>
      </c>
      <c r="C442" s="100"/>
      <c r="D442" s="101"/>
      <c r="E442" s="102"/>
    </row>
    <row r="443" spans="1:5" x14ac:dyDescent="0.2">
      <c r="A443" s="98"/>
      <c r="B443" s="99">
        <f t="shared" si="7"/>
        <v>0</v>
      </c>
      <c r="C443" s="100"/>
      <c r="D443" s="101"/>
      <c r="E443" s="102"/>
    </row>
    <row r="444" spans="1:5" x14ac:dyDescent="0.2">
      <c r="A444" s="98"/>
      <c r="B444" s="99">
        <f t="shared" si="7"/>
        <v>0</v>
      </c>
      <c r="C444" s="100"/>
      <c r="D444" s="101"/>
      <c r="E444" s="102"/>
    </row>
    <row r="445" spans="1:5" x14ac:dyDescent="0.2">
      <c r="A445" s="98"/>
      <c r="B445" s="99">
        <f t="shared" si="7"/>
        <v>0</v>
      </c>
      <c r="C445" s="100"/>
      <c r="D445" s="101"/>
      <c r="E445" s="102"/>
    </row>
    <row r="446" spans="1:5" x14ac:dyDescent="0.2">
      <c r="A446" s="98"/>
      <c r="B446" s="99">
        <f t="shared" si="7"/>
        <v>0</v>
      </c>
      <c r="C446" s="100"/>
      <c r="D446" s="101"/>
      <c r="E446" s="102"/>
    </row>
    <row r="447" spans="1:5" x14ac:dyDescent="0.2">
      <c r="A447" s="98"/>
      <c r="B447" s="99">
        <f t="shared" si="7"/>
        <v>0</v>
      </c>
      <c r="C447" s="100"/>
      <c r="D447" s="101"/>
      <c r="E447" s="102"/>
    </row>
    <row r="448" spans="1:5" x14ac:dyDescent="0.2">
      <c r="A448" s="98"/>
      <c r="B448" s="99">
        <f t="shared" si="7"/>
        <v>0</v>
      </c>
      <c r="C448" s="100"/>
      <c r="D448" s="101"/>
      <c r="E448" s="102"/>
    </row>
    <row r="449" spans="1:5" x14ac:dyDescent="0.2">
      <c r="A449" s="98"/>
      <c r="B449" s="99">
        <f t="shared" si="7"/>
        <v>0</v>
      </c>
      <c r="C449" s="100"/>
      <c r="D449" s="101"/>
      <c r="E449" s="102"/>
    </row>
    <row r="450" spans="1:5" x14ac:dyDescent="0.2">
      <c r="A450" s="98"/>
      <c r="B450" s="99">
        <f t="shared" si="7"/>
        <v>0</v>
      </c>
      <c r="C450" s="100"/>
      <c r="D450" s="101"/>
      <c r="E450" s="102"/>
    </row>
    <row r="451" spans="1:5" x14ac:dyDescent="0.2">
      <c r="A451" s="98"/>
      <c r="B451" s="99">
        <f t="shared" si="7"/>
        <v>0</v>
      </c>
      <c r="C451" s="100"/>
      <c r="D451" s="101"/>
      <c r="E451" s="102"/>
    </row>
    <row r="452" spans="1:5" x14ac:dyDescent="0.2">
      <c r="A452" s="98"/>
      <c r="B452" s="99">
        <f t="shared" si="7"/>
        <v>0</v>
      </c>
      <c r="C452" s="100"/>
      <c r="D452" s="101"/>
      <c r="E452" s="102"/>
    </row>
    <row r="453" spans="1:5" x14ac:dyDescent="0.2">
      <c r="A453" s="98"/>
      <c r="B453" s="99">
        <f t="shared" si="7"/>
        <v>0</v>
      </c>
      <c r="C453" s="100"/>
      <c r="D453" s="101"/>
      <c r="E453" s="102"/>
    </row>
    <row r="454" spans="1:5" x14ac:dyDescent="0.2">
      <c r="A454" s="98"/>
      <c r="B454" s="99">
        <f t="shared" si="7"/>
        <v>0</v>
      </c>
      <c r="C454" s="100"/>
      <c r="D454" s="101"/>
      <c r="E454" s="102"/>
    </row>
    <row r="455" spans="1:5" x14ac:dyDescent="0.2">
      <c r="A455" s="98"/>
      <c r="B455" s="99">
        <f t="shared" ref="B455:B518" si="8">WEEKNUM(A455,1)</f>
        <v>0</v>
      </c>
      <c r="C455" s="100"/>
      <c r="D455" s="101"/>
      <c r="E455" s="102"/>
    </row>
    <row r="456" spans="1:5" x14ac:dyDescent="0.2">
      <c r="A456" s="98"/>
      <c r="B456" s="99">
        <f t="shared" si="8"/>
        <v>0</v>
      </c>
      <c r="C456" s="100"/>
      <c r="D456" s="101"/>
      <c r="E456" s="102"/>
    </row>
    <row r="457" spans="1:5" x14ac:dyDescent="0.2">
      <c r="A457" s="98"/>
      <c r="B457" s="99">
        <f t="shared" si="8"/>
        <v>0</v>
      </c>
      <c r="C457" s="100"/>
      <c r="D457" s="101"/>
      <c r="E457" s="102"/>
    </row>
    <row r="458" spans="1:5" x14ac:dyDescent="0.2">
      <c r="A458" s="98"/>
      <c r="B458" s="99">
        <f t="shared" si="8"/>
        <v>0</v>
      </c>
      <c r="C458" s="100"/>
      <c r="D458" s="101"/>
      <c r="E458" s="102"/>
    </row>
    <row r="459" spans="1:5" x14ac:dyDescent="0.2">
      <c r="A459" s="98"/>
      <c r="B459" s="99">
        <f t="shared" si="8"/>
        <v>0</v>
      </c>
      <c r="C459" s="100"/>
      <c r="D459" s="101"/>
      <c r="E459" s="102"/>
    </row>
    <row r="460" spans="1:5" x14ac:dyDescent="0.2">
      <c r="A460" s="93"/>
      <c r="B460" s="94">
        <f t="shared" si="8"/>
        <v>0</v>
      </c>
      <c r="C460" s="100"/>
      <c r="D460" s="96"/>
      <c r="E460" s="102"/>
    </row>
    <row r="461" spans="1:5" x14ac:dyDescent="0.2">
      <c r="A461" s="93"/>
      <c r="B461" s="94">
        <f t="shared" si="8"/>
        <v>0</v>
      </c>
      <c r="C461" s="100"/>
      <c r="D461" s="96"/>
      <c r="E461" s="102"/>
    </row>
    <row r="462" spans="1:5" x14ac:dyDescent="0.2">
      <c r="A462" s="93"/>
      <c r="B462" s="94">
        <f t="shared" si="8"/>
        <v>0</v>
      </c>
      <c r="C462" s="100"/>
      <c r="D462" s="96"/>
      <c r="E462" s="102"/>
    </row>
    <row r="463" spans="1:5" x14ac:dyDescent="0.2">
      <c r="A463" s="93"/>
      <c r="B463" s="94">
        <f t="shared" si="8"/>
        <v>0</v>
      </c>
      <c r="C463" s="100"/>
      <c r="D463" s="96"/>
      <c r="E463" s="102"/>
    </row>
    <row r="464" spans="1:5" x14ac:dyDescent="0.2">
      <c r="A464" s="93"/>
      <c r="B464" s="94">
        <f t="shared" si="8"/>
        <v>0</v>
      </c>
      <c r="C464" s="100"/>
      <c r="D464" s="96"/>
      <c r="E464" s="102"/>
    </row>
    <row r="465" spans="1:5" x14ac:dyDescent="0.2">
      <c r="A465" s="93"/>
      <c r="B465" s="94">
        <f t="shared" si="8"/>
        <v>0</v>
      </c>
      <c r="C465" s="100"/>
      <c r="D465" s="96"/>
      <c r="E465" s="102"/>
    </row>
    <row r="466" spans="1:5" x14ac:dyDescent="0.2">
      <c r="A466" s="93"/>
      <c r="B466" s="94">
        <f t="shared" si="8"/>
        <v>0</v>
      </c>
      <c r="C466" s="100"/>
      <c r="D466" s="96"/>
      <c r="E466" s="102"/>
    </row>
    <row r="467" spans="1:5" x14ac:dyDescent="0.2">
      <c r="A467" s="93"/>
      <c r="B467" s="94">
        <f t="shared" si="8"/>
        <v>0</v>
      </c>
      <c r="C467" s="100"/>
      <c r="D467" s="96"/>
      <c r="E467" s="102"/>
    </row>
    <row r="468" spans="1:5" x14ac:dyDescent="0.2">
      <c r="A468" s="93"/>
      <c r="B468" s="94">
        <f t="shared" si="8"/>
        <v>0</v>
      </c>
      <c r="C468" s="100"/>
      <c r="D468" s="96"/>
      <c r="E468" s="102"/>
    </row>
    <row r="469" spans="1:5" x14ac:dyDescent="0.2">
      <c r="A469" s="93"/>
      <c r="B469" s="94">
        <f t="shared" si="8"/>
        <v>0</v>
      </c>
      <c r="C469" s="100"/>
      <c r="D469" s="96"/>
      <c r="E469" s="102"/>
    </row>
    <row r="470" spans="1:5" x14ac:dyDescent="0.2">
      <c r="A470" s="93"/>
      <c r="B470" s="94">
        <f t="shared" si="8"/>
        <v>0</v>
      </c>
      <c r="C470" s="100"/>
      <c r="D470" s="96"/>
      <c r="E470" s="102"/>
    </row>
    <row r="471" spans="1:5" x14ac:dyDescent="0.2">
      <c r="A471" s="93"/>
      <c r="B471" s="94">
        <f t="shared" si="8"/>
        <v>0</v>
      </c>
      <c r="C471" s="100"/>
      <c r="D471" s="96"/>
      <c r="E471" s="102"/>
    </row>
    <row r="472" spans="1:5" x14ac:dyDescent="0.2">
      <c r="A472" s="93"/>
      <c r="B472" s="94">
        <f t="shared" si="8"/>
        <v>0</v>
      </c>
      <c r="C472" s="100"/>
      <c r="D472" s="96"/>
      <c r="E472" s="102"/>
    </row>
    <row r="473" spans="1:5" x14ac:dyDescent="0.2">
      <c r="A473" s="93"/>
      <c r="B473" s="94">
        <f t="shared" si="8"/>
        <v>0</v>
      </c>
      <c r="C473" s="100"/>
      <c r="D473" s="96"/>
      <c r="E473" s="102"/>
    </row>
    <row r="474" spans="1:5" x14ac:dyDescent="0.2">
      <c r="A474" s="93"/>
      <c r="B474" s="94">
        <f t="shared" si="8"/>
        <v>0</v>
      </c>
      <c r="C474" s="100"/>
      <c r="D474" s="96"/>
      <c r="E474" s="102"/>
    </row>
    <row r="475" spans="1:5" x14ac:dyDescent="0.2">
      <c r="A475" s="93"/>
      <c r="B475" s="94">
        <f t="shared" si="8"/>
        <v>0</v>
      </c>
      <c r="C475" s="100"/>
      <c r="D475" s="96"/>
      <c r="E475" s="102"/>
    </row>
    <row r="476" spans="1:5" x14ac:dyDescent="0.2">
      <c r="A476" s="93"/>
      <c r="B476" s="94">
        <f t="shared" si="8"/>
        <v>0</v>
      </c>
      <c r="C476" s="100"/>
      <c r="D476" s="96"/>
      <c r="E476" s="102"/>
    </row>
    <row r="477" spans="1:5" x14ac:dyDescent="0.2">
      <c r="A477" s="93"/>
      <c r="B477" s="94">
        <f t="shared" si="8"/>
        <v>0</v>
      </c>
      <c r="C477" s="100"/>
      <c r="D477" s="96"/>
      <c r="E477" s="102"/>
    </row>
    <row r="478" spans="1:5" x14ac:dyDescent="0.2">
      <c r="A478" s="93"/>
      <c r="B478" s="94">
        <f t="shared" si="8"/>
        <v>0</v>
      </c>
      <c r="C478" s="100"/>
      <c r="D478" s="96"/>
      <c r="E478" s="102"/>
    </row>
    <row r="479" spans="1:5" x14ac:dyDescent="0.2">
      <c r="A479" s="93"/>
      <c r="B479" s="94">
        <f t="shared" si="8"/>
        <v>0</v>
      </c>
      <c r="C479" s="100"/>
      <c r="D479" s="96"/>
      <c r="E479" s="102"/>
    </row>
    <row r="480" spans="1:5" x14ac:dyDescent="0.2">
      <c r="A480" s="93"/>
      <c r="B480" s="94">
        <f t="shared" si="8"/>
        <v>0</v>
      </c>
      <c r="C480" s="100"/>
      <c r="D480" s="96"/>
      <c r="E480" s="102"/>
    </row>
    <row r="481" spans="1:5" x14ac:dyDescent="0.2">
      <c r="A481" s="93"/>
      <c r="B481" s="94">
        <f t="shared" si="8"/>
        <v>0</v>
      </c>
      <c r="C481" s="100"/>
      <c r="D481" s="96"/>
      <c r="E481" s="102"/>
    </row>
    <row r="482" spans="1:5" x14ac:dyDescent="0.2">
      <c r="A482" s="93"/>
      <c r="B482" s="94">
        <f t="shared" si="8"/>
        <v>0</v>
      </c>
      <c r="C482" s="100"/>
      <c r="D482" s="96"/>
      <c r="E482" s="102"/>
    </row>
    <row r="483" spans="1:5" x14ac:dyDescent="0.2">
      <c r="A483" s="93"/>
      <c r="B483" s="94">
        <f t="shared" si="8"/>
        <v>0</v>
      </c>
      <c r="C483" s="100"/>
      <c r="D483" s="96"/>
      <c r="E483" s="102"/>
    </row>
    <row r="484" spans="1:5" x14ac:dyDescent="0.2">
      <c r="A484" s="93"/>
      <c r="B484" s="94">
        <f t="shared" si="8"/>
        <v>0</v>
      </c>
      <c r="C484" s="100"/>
      <c r="D484" s="96"/>
      <c r="E484" s="102"/>
    </row>
    <row r="485" spans="1:5" x14ac:dyDescent="0.2">
      <c r="A485" s="93"/>
      <c r="B485" s="94">
        <f t="shared" si="8"/>
        <v>0</v>
      </c>
      <c r="C485" s="100"/>
      <c r="D485" s="96"/>
      <c r="E485" s="102"/>
    </row>
    <row r="486" spans="1:5" x14ac:dyDescent="0.2">
      <c r="A486" s="93"/>
      <c r="B486" s="94">
        <f t="shared" si="8"/>
        <v>0</v>
      </c>
      <c r="C486" s="100"/>
      <c r="D486" s="96"/>
      <c r="E486" s="102"/>
    </row>
    <row r="487" spans="1:5" x14ac:dyDescent="0.2">
      <c r="A487" s="93"/>
      <c r="B487" s="94">
        <f t="shared" si="8"/>
        <v>0</v>
      </c>
      <c r="C487" s="100"/>
      <c r="D487" s="96"/>
      <c r="E487" s="102"/>
    </row>
    <row r="488" spans="1:5" x14ac:dyDescent="0.2">
      <c r="A488" s="93"/>
      <c r="B488" s="94">
        <f t="shared" si="8"/>
        <v>0</v>
      </c>
      <c r="C488" s="100"/>
      <c r="D488" s="96"/>
      <c r="E488" s="102"/>
    </row>
    <row r="489" spans="1:5" x14ac:dyDescent="0.2">
      <c r="A489" s="93"/>
      <c r="B489" s="94">
        <f t="shared" si="8"/>
        <v>0</v>
      </c>
      <c r="C489" s="100"/>
      <c r="D489" s="96"/>
      <c r="E489" s="102"/>
    </row>
    <row r="490" spans="1:5" x14ac:dyDescent="0.2">
      <c r="A490" s="93"/>
      <c r="B490" s="94">
        <f t="shared" si="8"/>
        <v>0</v>
      </c>
      <c r="C490" s="100"/>
      <c r="D490" s="96"/>
      <c r="E490" s="102"/>
    </row>
    <row r="491" spans="1:5" x14ac:dyDescent="0.2">
      <c r="A491" s="93"/>
      <c r="B491" s="94">
        <f t="shared" si="8"/>
        <v>0</v>
      </c>
      <c r="C491" s="100"/>
      <c r="D491" s="96"/>
      <c r="E491" s="102"/>
    </row>
    <row r="492" spans="1:5" x14ac:dyDescent="0.2">
      <c r="A492" s="93"/>
      <c r="B492" s="94">
        <f t="shared" si="8"/>
        <v>0</v>
      </c>
      <c r="C492" s="100"/>
      <c r="D492" s="96"/>
      <c r="E492" s="102"/>
    </row>
    <row r="493" spans="1:5" x14ac:dyDescent="0.2">
      <c r="A493" s="93"/>
      <c r="B493" s="94">
        <f t="shared" si="8"/>
        <v>0</v>
      </c>
      <c r="C493" s="100"/>
      <c r="D493" s="96"/>
      <c r="E493" s="102"/>
    </row>
    <row r="494" spans="1:5" x14ac:dyDescent="0.2">
      <c r="A494" s="93"/>
      <c r="B494" s="94">
        <f t="shared" si="8"/>
        <v>0</v>
      </c>
      <c r="C494" s="100"/>
      <c r="D494" s="96"/>
      <c r="E494" s="102"/>
    </row>
    <row r="495" spans="1:5" x14ac:dyDescent="0.2">
      <c r="A495" s="93"/>
      <c r="B495" s="94">
        <f t="shared" si="8"/>
        <v>0</v>
      </c>
      <c r="C495" s="100"/>
      <c r="D495" s="96"/>
      <c r="E495" s="102"/>
    </row>
    <row r="496" spans="1:5" x14ac:dyDescent="0.2">
      <c r="A496" s="93"/>
      <c r="B496" s="94">
        <f t="shared" si="8"/>
        <v>0</v>
      </c>
      <c r="C496" s="100"/>
      <c r="D496" s="96"/>
      <c r="E496" s="102"/>
    </row>
    <row r="497" spans="1:5" x14ac:dyDescent="0.2">
      <c r="A497" s="93"/>
      <c r="B497" s="94">
        <f t="shared" si="8"/>
        <v>0</v>
      </c>
      <c r="C497" s="100"/>
      <c r="D497" s="96"/>
      <c r="E497" s="102"/>
    </row>
    <row r="498" spans="1:5" x14ac:dyDescent="0.2">
      <c r="A498" s="93"/>
      <c r="B498" s="94">
        <f t="shared" si="8"/>
        <v>0</v>
      </c>
      <c r="C498" s="100"/>
      <c r="D498" s="96"/>
      <c r="E498" s="102"/>
    </row>
    <row r="499" spans="1:5" x14ac:dyDescent="0.2">
      <c r="A499" s="93"/>
      <c r="B499" s="94">
        <f t="shared" si="8"/>
        <v>0</v>
      </c>
      <c r="C499" s="100"/>
      <c r="D499" s="96"/>
      <c r="E499" s="102"/>
    </row>
    <row r="500" spans="1:5" x14ac:dyDescent="0.2">
      <c r="A500" s="93"/>
      <c r="B500" s="94">
        <f t="shared" si="8"/>
        <v>0</v>
      </c>
      <c r="C500" s="100"/>
      <c r="D500" s="96"/>
      <c r="E500" s="102"/>
    </row>
    <row r="501" spans="1:5" x14ac:dyDescent="0.2">
      <c r="A501" s="93"/>
      <c r="B501" s="94">
        <f t="shared" si="8"/>
        <v>0</v>
      </c>
      <c r="C501" s="100"/>
      <c r="D501" s="96"/>
      <c r="E501" s="102"/>
    </row>
    <row r="502" spans="1:5" x14ac:dyDescent="0.2">
      <c r="A502" s="93"/>
      <c r="B502" s="94">
        <f t="shared" si="8"/>
        <v>0</v>
      </c>
      <c r="C502" s="100"/>
      <c r="D502" s="96"/>
      <c r="E502" s="102"/>
    </row>
    <row r="503" spans="1:5" x14ac:dyDescent="0.2">
      <c r="A503" s="93"/>
      <c r="B503" s="94">
        <f t="shared" si="8"/>
        <v>0</v>
      </c>
      <c r="C503" s="100"/>
      <c r="D503" s="96"/>
      <c r="E503" s="102"/>
    </row>
    <row r="504" spans="1:5" x14ac:dyDescent="0.2">
      <c r="A504" s="93"/>
      <c r="B504" s="94">
        <f t="shared" si="8"/>
        <v>0</v>
      </c>
      <c r="C504" s="100"/>
      <c r="D504" s="96"/>
      <c r="E504" s="102"/>
    </row>
    <row r="505" spans="1:5" x14ac:dyDescent="0.2">
      <c r="A505" s="93"/>
      <c r="B505" s="94">
        <f t="shared" si="8"/>
        <v>0</v>
      </c>
      <c r="C505" s="100"/>
      <c r="D505" s="96"/>
      <c r="E505" s="102"/>
    </row>
    <row r="506" spans="1:5" x14ac:dyDescent="0.2">
      <c r="A506" s="93"/>
      <c r="B506" s="94">
        <f t="shared" si="8"/>
        <v>0</v>
      </c>
      <c r="C506" s="100"/>
      <c r="D506" s="96"/>
      <c r="E506" s="102"/>
    </row>
    <row r="507" spans="1:5" x14ac:dyDescent="0.2">
      <c r="A507" s="93"/>
      <c r="B507" s="94">
        <f t="shared" si="8"/>
        <v>0</v>
      </c>
      <c r="C507" s="100"/>
      <c r="D507" s="96"/>
      <c r="E507" s="102"/>
    </row>
    <row r="508" spans="1:5" x14ac:dyDescent="0.2">
      <c r="A508" s="93"/>
      <c r="B508" s="94">
        <f t="shared" si="8"/>
        <v>0</v>
      </c>
      <c r="C508" s="100"/>
      <c r="D508" s="96"/>
      <c r="E508" s="102"/>
    </row>
    <row r="509" spans="1:5" x14ac:dyDescent="0.2">
      <c r="A509" s="93"/>
      <c r="B509" s="94">
        <f t="shared" si="8"/>
        <v>0</v>
      </c>
      <c r="C509" s="100"/>
      <c r="D509" s="96"/>
      <c r="E509" s="102"/>
    </row>
    <row r="510" spans="1:5" x14ac:dyDescent="0.2">
      <c r="A510" s="93"/>
      <c r="B510" s="94">
        <f t="shared" si="8"/>
        <v>0</v>
      </c>
      <c r="C510" s="100"/>
      <c r="D510" s="96"/>
      <c r="E510" s="102"/>
    </row>
    <row r="511" spans="1:5" x14ac:dyDescent="0.2">
      <c r="A511" s="93"/>
      <c r="B511" s="94">
        <f t="shared" si="8"/>
        <v>0</v>
      </c>
      <c r="C511" s="100"/>
      <c r="D511" s="96"/>
      <c r="E511" s="102"/>
    </row>
    <row r="512" spans="1:5" x14ac:dyDescent="0.2">
      <c r="A512" s="93"/>
      <c r="B512" s="94">
        <f t="shared" si="8"/>
        <v>0</v>
      </c>
      <c r="C512" s="100"/>
      <c r="D512" s="96"/>
      <c r="E512" s="102"/>
    </row>
    <row r="513" spans="1:5" x14ac:dyDescent="0.2">
      <c r="A513" s="93"/>
      <c r="B513" s="94">
        <f t="shared" si="8"/>
        <v>0</v>
      </c>
      <c r="C513" s="100"/>
      <c r="D513" s="96"/>
      <c r="E513" s="102"/>
    </row>
    <row r="514" spans="1:5" x14ac:dyDescent="0.2">
      <c r="A514" s="93"/>
      <c r="B514" s="94">
        <f t="shared" si="8"/>
        <v>0</v>
      </c>
      <c r="C514" s="100"/>
      <c r="D514" s="96"/>
      <c r="E514" s="102"/>
    </row>
    <row r="515" spans="1:5" x14ac:dyDescent="0.2">
      <c r="A515" s="93"/>
      <c r="B515" s="94">
        <f t="shared" si="8"/>
        <v>0</v>
      </c>
      <c r="C515" s="100"/>
      <c r="D515" s="96"/>
      <c r="E515" s="102"/>
    </row>
    <row r="516" spans="1:5" x14ac:dyDescent="0.2">
      <c r="A516" s="93"/>
      <c r="B516" s="94">
        <f t="shared" si="8"/>
        <v>0</v>
      </c>
      <c r="C516" s="100"/>
      <c r="D516" s="96"/>
      <c r="E516" s="102"/>
    </row>
    <row r="517" spans="1:5" x14ac:dyDescent="0.2">
      <c r="A517" s="93"/>
      <c r="B517" s="94">
        <f t="shared" si="8"/>
        <v>0</v>
      </c>
      <c r="C517" s="100"/>
      <c r="D517" s="96"/>
      <c r="E517" s="102"/>
    </row>
    <row r="518" spans="1:5" x14ac:dyDescent="0.2">
      <c r="A518" s="93"/>
      <c r="B518" s="94">
        <f t="shared" si="8"/>
        <v>0</v>
      </c>
      <c r="C518" s="100"/>
      <c r="D518" s="96"/>
      <c r="E518" s="102"/>
    </row>
    <row r="519" spans="1:5" x14ac:dyDescent="0.2">
      <c r="A519" s="93"/>
      <c r="B519" s="94">
        <f t="shared" ref="B519:B582" si="9">WEEKNUM(A519,1)</f>
        <v>0</v>
      </c>
      <c r="C519" s="100"/>
      <c r="D519" s="96"/>
      <c r="E519" s="102"/>
    </row>
    <row r="520" spans="1:5" x14ac:dyDescent="0.2">
      <c r="A520" s="93"/>
      <c r="B520" s="94">
        <f t="shared" si="9"/>
        <v>0</v>
      </c>
      <c r="C520" s="100"/>
      <c r="D520" s="96"/>
      <c r="E520" s="102"/>
    </row>
    <row r="521" spans="1:5" x14ac:dyDescent="0.2">
      <c r="A521" s="93"/>
      <c r="B521" s="94">
        <f t="shared" si="9"/>
        <v>0</v>
      </c>
      <c r="C521" s="100"/>
      <c r="D521" s="96"/>
      <c r="E521" s="102"/>
    </row>
    <row r="522" spans="1:5" x14ac:dyDescent="0.2">
      <c r="A522" s="93"/>
      <c r="B522" s="94">
        <f t="shared" si="9"/>
        <v>0</v>
      </c>
      <c r="C522" s="100"/>
      <c r="D522" s="96"/>
      <c r="E522" s="102"/>
    </row>
    <row r="523" spans="1:5" x14ac:dyDescent="0.2">
      <c r="A523" s="93"/>
      <c r="B523" s="94">
        <f t="shared" si="9"/>
        <v>0</v>
      </c>
      <c r="C523" s="100"/>
      <c r="D523" s="96"/>
      <c r="E523" s="102"/>
    </row>
    <row r="524" spans="1:5" x14ac:dyDescent="0.2">
      <c r="A524" s="93"/>
      <c r="B524" s="94">
        <f t="shared" si="9"/>
        <v>0</v>
      </c>
      <c r="C524" s="100"/>
      <c r="D524" s="96"/>
      <c r="E524" s="102"/>
    </row>
    <row r="525" spans="1:5" x14ac:dyDescent="0.2">
      <c r="A525" s="93"/>
      <c r="B525" s="94">
        <f t="shared" si="9"/>
        <v>0</v>
      </c>
      <c r="C525" s="100"/>
      <c r="D525" s="96"/>
      <c r="E525" s="102"/>
    </row>
    <row r="526" spans="1:5" x14ac:dyDescent="0.2">
      <c r="A526" s="93"/>
      <c r="B526" s="94">
        <f t="shared" si="9"/>
        <v>0</v>
      </c>
      <c r="C526" s="100"/>
      <c r="D526" s="96"/>
      <c r="E526" s="102"/>
    </row>
    <row r="527" spans="1:5" x14ac:dyDescent="0.2">
      <c r="A527" s="93"/>
      <c r="B527" s="94">
        <f t="shared" si="9"/>
        <v>0</v>
      </c>
      <c r="C527" s="100"/>
      <c r="D527" s="96"/>
      <c r="E527" s="102"/>
    </row>
    <row r="528" spans="1:5" x14ac:dyDescent="0.2">
      <c r="A528" s="93"/>
      <c r="B528" s="94">
        <f t="shared" si="9"/>
        <v>0</v>
      </c>
      <c r="C528" s="100"/>
      <c r="D528" s="96"/>
      <c r="E528" s="102"/>
    </row>
    <row r="529" spans="1:5" x14ac:dyDescent="0.2">
      <c r="A529" s="93"/>
      <c r="B529" s="94">
        <f t="shared" si="9"/>
        <v>0</v>
      </c>
      <c r="C529" s="100"/>
      <c r="D529" s="96"/>
      <c r="E529" s="102"/>
    </row>
    <row r="530" spans="1:5" x14ac:dyDescent="0.2">
      <c r="A530" s="93"/>
      <c r="B530" s="94">
        <f t="shared" si="9"/>
        <v>0</v>
      </c>
      <c r="C530" s="100"/>
      <c r="D530" s="96"/>
      <c r="E530" s="102"/>
    </row>
    <row r="531" spans="1:5" x14ac:dyDescent="0.2">
      <c r="A531" s="93"/>
      <c r="B531" s="94">
        <f t="shared" si="9"/>
        <v>0</v>
      </c>
      <c r="C531" s="100"/>
      <c r="D531" s="96"/>
      <c r="E531" s="102"/>
    </row>
    <row r="532" spans="1:5" x14ac:dyDescent="0.2">
      <c r="A532" s="93"/>
      <c r="B532" s="94">
        <f t="shared" si="9"/>
        <v>0</v>
      </c>
      <c r="C532" s="100"/>
      <c r="D532" s="96"/>
      <c r="E532" s="102"/>
    </row>
    <row r="533" spans="1:5" x14ac:dyDescent="0.2">
      <c r="A533" s="93"/>
      <c r="B533" s="94">
        <f t="shared" si="9"/>
        <v>0</v>
      </c>
      <c r="C533" s="100"/>
      <c r="D533" s="96"/>
      <c r="E533" s="102"/>
    </row>
    <row r="534" spans="1:5" x14ac:dyDescent="0.2">
      <c r="A534" s="93"/>
      <c r="B534" s="94">
        <f t="shared" si="9"/>
        <v>0</v>
      </c>
      <c r="C534" s="100"/>
      <c r="D534" s="96"/>
      <c r="E534" s="102"/>
    </row>
    <row r="535" spans="1:5" x14ac:dyDescent="0.2">
      <c r="A535" s="93"/>
      <c r="B535" s="94">
        <f t="shared" si="9"/>
        <v>0</v>
      </c>
      <c r="C535" s="100"/>
      <c r="D535" s="96"/>
      <c r="E535" s="102"/>
    </row>
    <row r="536" spans="1:5" x14ac:dyDescent="0.2">
      <c r="A536" s="93"/>
      <c r="B536" s="94">
        <f t="shared" si="9"/>
        <v>0</v>
      </c>
      <c r="C536" s="100"/>
      <c r="D536" s="96"/>
      <c r="E536" s="102"/>
    </row>
    <row r="537" spans="1:5" x14ac:dyDescent="0.2">
      <c r="A537" s="93"/>
      <c r="B537" s="94">
        <f t="shared" si="9"/>
        <v>0</v>
      </c>
      <c r="C537" s="100"/>
      <c r="D537" s="96"/>
      <c r="E537" s="102"/>
    </row>
    <row r="538" spans="1:5" x14ac:dyDescent="0.2">
      <c r="A538" s="93"/>
      <c r="B538" s="94">
        <f t="shared" si="9"/>
        <v>0</v>
      </c>
      <c r="C538" s="100"/>
      <c r="D538" s="96"/>
      <c r="E538" s="102"/>
    </row>
    <row r="539" spans="1:5" x14ac:dyDescent="0.2">
      <c r="A539" s="93"/>
      <c r="B539" s="94">
        <f t="shared" si="9"/>
        <v>0</v>
      </c>
      <c r="C539" s="100"/>
      <c r="D539" s="96"/>
      <c r="E539" s="102"/>
    </row>
    <row r="540" spans="1:5" x14ac:dyDescent="0.2">
      <c r="A540" s="93"/>
      <c r="B540" s="94">
        <f t="shared" si="9"/>
        <v>0</v>
      </c>
      <c r="C540" s="100"/>
      <c r="D540" s="96"/>
      <c r="E540" s="102"/>
    </row>
    <row r="541" spans="1:5" x14ac:dyDescent="0.2">
      <c r="A541" s="93"/>
      <c r="B541" s="94">
        <f t="shared" si="9"/>
        <v>0</v>
      </c>
      <c r="C541" s="100"/>
      <c r="D541" s="96"/>
      <c r="E541" s="102"/>
    </row>
    <row r="542" spans="1:5" x14ac:dyDescent="0.2">
      <c r="A542" s="93"/>
      <c r="B542" s="94">
        <f t="shared" si="9"/>
        <v>0</v>
      </c>
      <c r="C542" s="100"/>
      <c r="D542" s="96"/>
      <c r="E542" s="102"/>
    </row>
    <row r="543" spans="1:5" x14ac:dyDescent="0.2">
      <c r="A543" s="93"/>
      <c r="B543" s="94">
        <f t="shared" si="9"/>
        <v>0</v>
      </c>
      <c r="C543" s="100"/>
      <c r="D543" s="96"/>
      <c r="E543" s="102"/>
    </row>
    <row r="544" spans="1:5" x14ac:dyDescent="0.2">
      <c r="A544" s="93"/>
      <c r="B544" s="94">
        <f t="shared" si="9"/>
        <v>0</v>
      </c>
      <c r="C544" s="100"/>
      <c r="D544" s="96"/>
      <c r="E544" s="102"/>
    </row>
    <row r="545" spans="1:5" x14ac:dyDescent="0.2">
      <c r="A545" s="93"/>
      <c r="B545" s="94">
        <f t="shared" si="9"/>
        <v>0</v>
      </c>
      <c r="C545" s="100"/>
      <c r="D545" s="96"/>
      <c r="E545" s="102"/>
    </row>
    <row r="546" spans="1:5" x14ac:dyDescent="0.2">
      <c r="A546" s="93"/>
      <c r="B546" s="94">
        <f t="shared" si="9"/>
        <v>0</v>
      </c>
      <c r="C546" s="100"/>
      <c r="D546" s="96"/>
      <c r="E546" s="102"/>
    </row>
    <row r="547" spans="1:5" x14ac:dyDescent="0.2">
      <c r="A547" s="93"/>
      <c r="B547" s="94">
        <f t="shared" si="9"/>
        <v>0</v>
      </c>
      <c r="C547" s="100"/>
      <c r="D547" s="96"/>
      <c r="E547" s="102"/>
    </row>
    <row r="548" spans="1:5" x14ac:dyDescent="0.2">
      <c r="A548" s="93"/>
      <c r="B548" s="94">
        <f t="shared" si="9"/>
        <v>0</v>
      </c>
      <c r="C548" s="100"/>
      <c r="D548" s="96"/>
      <c r="E548" s="102"/>
    </row>
    <row r="549" spans="1:5" x14ac:dyDescent="0.2">
      <c r="A549" s="93"/>
      <c r="B549" s="94">
        <f t="shared" si="9"/>
        <v>0</v>
      </c>
      <c r="C549" s="100"/>
      <c r="D549" s="96"/>
      <c r="E549" s="102"/>
    </row>
    <row r="550" spans="1:5" x14ac:dyDescent="0.2">
      <c r="A550" s="93"/>
      <c r="B550" s="94">
        <f t="shared" si="9"/>
        <v>0</v>
      </c>
      <c r="C550" s="100"/>
      <c r="D550" s="96"/>
      <c r="E550" s="102"/>
    </row>
    <row r="551" spans="1:5" x14ac:dyDescent="0.2">
      <c r="A551" s="93"/>
      <c r="B551" s="94">
        <f t="shared" si="9"/>
        <v>0</v>
      </c>
      <c r="C551" s="100"/>
      <c r="D551" s="96"/>
      <c r="E551" s="102"/>
    </row>
    <row r="552" spans="1:5" x14ac:dyDescent="0.2">
      <c r="A552" s="93"/>
      <c r="B552" s="94">
        <f t="shared" si="9"/>
        <v>0</v>
      </c>
      <c r="C552" s="100"/>
      <c r="D552" s="96"/>
      <c r="E552" s="102"/>
    </row>
    <row r="553" spans="1:5" x14ac:dyDescent="0.2">
      <c r="A553" s="93"/>
      <c r="B553" s="94">
        <f t="shared" si="9"/>
        <v>0</v>
      </c>
      <c r="C553" s="100"/>
      <c r="D553" s="96"/>
      <c r="E553" s="102"/>
    </row>
    <row r="554" spans="1:5" x14ac:dyDescent="0.2">
      <c r="A554" s="93"/>
      <c r="B554" s="94">
        <f t="shared" si="9"/>
        <v>0</v>
      </c>
      <c r="C554" s="100"/>
      <c r="D554" s="96"/>
      <c r="E554" s="102"/>
    </row>
    <row r="555" spans="1:5" x14ac:dyDescent="0.2">
      <c r="A555" s="93"/>
      <c r="B555" s="94">
        <f t="shared" si="9"/>
        <v>0</v>
      </c>
      <c r="C555" s="100"/>
      <c r="D555" s="96"/>
      <c r="E555" s="102"/>
    </row>
    <row r="556" spans="1:5" x14ac:dyDescent="0.2">
      <c r="A556" s="93"/>
      <c r="B556" s="94">
        <f t="shared" si="9"/>
        <v>0</v>
      </c>
      <c r="C556" s="100"/>
      <c r="D556" s="96"/>
      <c r="E556" s="102"/>
    </row>
    <row r="557" spans="1:5" x14ac:dyDescent="0.2">
      <c r="A557" s="93"/>
      <c r="B557" s="94">
        <f t="shared" si="9"/>
        <v>0</v>
      </c>
      <c r="C557" s="100"/>
      <c r="D557" s="96"/>
      <c r="E557" s="102"/>
    </row>
    <row r="558" spans="1:5" x14ac:dyDescent="0.2">
      <c r="A558" s="93"/>
      <c r="B558" s="94">
        <f t="shared" si="9"/>
        <v>0</v>
      </c>
      <c r="C558" s="100"/>
      <c r="D558" s="96"/>
      <c r="E558" s="102"/>
    </row>
    <row r="559" spans="1:5" x14ac:dyDescent="0.2">
      <c r="A559" s="93"/>
      <c r="B559" s="94">
        <f t="shared" si="9"/>
        <v>0</v>
      </c>
      <c r="C559" s="100"/>
      <c r="D559" s="96"/>
      <c r="E559" s="102"/>
    </row>
    <row r="560" spans="1:5" x14ac:dyDescent="0.2">
      <c r="A560" s="93"/>
      <c r="B560" s="94">
        <f t="shared" si="9"/>
        <v>0</v>
      </c>
      <c r="C560" s="100"/>
      <c r="D560" s="96"/>
      <c r="E560" s="102"/>
    </row>
    <row r="561" spans="1:5" x14ac:dyDescent="0.2">
      <c r="A561" s="93"/>
      <c r="B561" s="94">
        <f t="shared" si="9"/>
        <v>0</v>
      </c>
      <c r="C561" s="100"/>
      <c r="D561" s="96"/>
      <c r="E561" s="102"/>
    </row>
    <row r="562" spans="1:5" x14ac:dyDescent="0.2">
      <c r="A562" s="93"/>
      <c r="B562" s="94">
        <f t="shared" si="9"/>
        <v>0</v>
      </c>
      <c r="C562" s="100"/>
      <c r="D562" s="96"/>
      <c r="E562" s="102"/>
    </row>
    <row r="563" spans="1:5" x14ac:dyDescent="0.2">
      <c r="A563" s="93"/>
      <c r="B563" s="94">
        <f t="shared" si="9"/>
        <v>0</v>
      </c>
      <c r="C563" s="100"/>
      <c r="D563" s="96"/>
      <c r="E563" s="102"/>
    </row>
    <row r="564" spans="1:5" x14ac:dyDescent="0.2">
      <c r="A564" s="93"/>
      <c r="B564" s="94">
        <f t="shared" si="9"/>
        <v>0</v>
      </c>
      <c r="C564" s="100"/>
      <c r="D564" s="96"/>
      <c r="E564" s="102"/>
    </row>
    <row r="565" spans="1:5" x14ac:dyDescent="0.2">
      <c r="A565" s="93"/>
      <c r="B565" s="94">
        <f t="shared" si="9"/>
        <v>0</v>
      </c>
      <c r="C565" s="100"/>
      <c r="D565" s="96"/>
      <c r="E565" s="102"/>
    </row>
    <row r="566" spans="1:5" x14ac:dyDescent="0.2">
      <c r="A566" s="93"/>
      <c r="B566" s="94">
        <f t="shared" si="9"/>
        <v>0</v>
      </c>
      <c r="C566" s="100"/>
      <c r="D566" s="96"/>
      <c r="E566" s="102"/>
    </row>
    <row r="567" spans="1:5" x14ac:dyDescent="0.2">
      <c r="A567" s="93"/>
      <c r="B567" s="94">
        <f t="shared" si="9"/>
        <v>0</v>
      </c>
      <c r="C567" s="100"/>
      <c r="D567" s="96"/>
      <c r="E567" s="102"/>
    </row>
    <row r="568" spans="1:5" x14ac:dyDescent="0.2">
      <c r="A568" s="93"/>
      <c r="B568" s="94">
        <f t="shared" si="9"/>
        <v>0</v>
      </c>
      <c r="C568" s="100"/>
      <c r="D568" s="96"/>
      <c r="E568" s="102"/>
    </row>
    <row r="569" spans="1:5" x14ac:dyDescent="0.2">
      <c r="A569" s="93"/>
      <c r="B569" s="94">
        <f t="shared" si="9"/>
        <v>0</v>
      </c>
      <c r="C569" s="100"/>
      <c r="D569" s="96"/>
      <c r="E569" s="102"/>
    </row>
    <row r="570" spans="1:5" x14ac:dyDescent="0.2">
      <c r="A570" s="93"/>
      <c r="B570" s="94">
        <f t="shared" si="9"/>
        <v>0</v>
      </c>
      <c r="C570" s="100"/>
      <c r="D570" s="96"/>
      <c r="E570" s="102"/>
    </row>
    <row r="571" spans="1:5" x14ac:dyDescent="0.2">
      <c r="A571" s="93"/>
      <c r="B571" s="94">
        <f t="shared" si="9"/>
        <v>0</v>
      </c>
      <c r="C571" s="100"/>
      <c r="D571" s="96"/>
      <c r="E571" s="102"/>
    </row>
    <row r="572" spans="1:5" x14ac:dyDescent="0.2">
      <c r="A572" s="93"/>
      <c r="B572" s="94">
        <f t="shared" si="9"/>
        <v>0</v>
      </c>
      <c r="C572" s="100"/>
      <c r="D572" s="96"/>
      <c r="E572" s="102"/>
    </row>
    <row r="573" spans="1:5" x14ac:dyDescent="0.2">
      <c r="A573" s="93"/>
      <c r="B573" s="94">
        <f t="shared" si="9"/>
        <v>0</v>
      </c>
      <c r="C573" s="100"/>
      <c r="D573" s="96"/>
      <c r="E573" s="102"/>
    </row>
    <row r="574" spans="1:5" x14ac:dyDescent="0.2">
      <c r="A574" s="93"/>
      <c r="B574" s="94">
        <f t="shared" si="9"/>
        <v>0</v>
      </c>
      <c r="C574" s="100"/>
      <c r="D574" s="96"/>
      <c r="E574" s="102"/>
    </row>
    <row r="575" spans="1:5" x14ac:dyDescent="0.2">
      <c r="A575" s="93"/>
      <c r="B575" s="94">
        <f t="shared" si="9"/>
        <v>0</v>
      </c>
      <c r="C575" s="100"/>
      <c r="D575" s="96"/>
      <c r="E575" s="102"/>
    </row>
    <row r="576" spans="1:5" x14ac:dyDescent="0.2">
      <c r="A576" s="93"/>
      <c r="B576" s="94">
        <f t="shared" si="9"/>
        <v>0</v>
      </c>
      <c r="C576" s="100"/>
      <c r="D576" s="96"/>
      <c r="E576" s="102"/>
    </row>
    <row r="577" spans="1:5" x14ac:dyDescent="0.2">
      <c r="A577" s="93"/>
      <c r="B577" s="94">
        <f t="shared" si="9"/>
        <v>0</v>
      </c>
      <c r="C577" s="100"/>
      <c r="D577" s="96"/>
      <c r="E577" s="102"/>
    </row>
    <row r="578" spans="1:5" x14ac:dyDescent="0.2">
      <c r="A578" s="93"/>
      <c r="B578" s="94">
        <f t="shared" si="9"/>
        <v>0</v>
      </c>
      <c r="C578" s="100"/>
      <c r="D578" s="96"/>
      <c r="E578" s="102"/>
    </row>
    <row r="579" spans="1:5" x14ac:dyDescent="0.2">
      <c r="A579" s="93"/>
      <c r="B579" s="94">
        <f t="shared" si="9"/>
        <v>0</v>
      </c>
      <c r="C579" s="100"/>
      <c r="D579" s="96"/>
      <c r="E579" s="102"/>
    </row>
    <row r="580" spans="1:5" x14ac:dyDescent="0.2">
      <c r="A580" s="93"/>
      <c r="B580" s="94">
        <f t="shared" si="9"/>
        <v>0</v>
      </c>
      <c r="C580" s="100"/>
      <c r="D580" s="96"/>
      <c r="E580" s="102"/>
    </row>
    <row r="581" spans="1:5" x14ac:dyDescent="0.2">
      <c r="A581" s="93"/>
      <c r="B581" s="94">
        <f t="shared" si="9"/>
        <v>0</v>
      </c>
      <c r="C581" s="100"/>
      <c r="D581" s="96"/>
      <c r="E581" s="102"/>
    </row>
    <row r="582" spans="1:5" x14ac:dyDescent="0.2">
      <c r="A582" s="93"/>
      <c r="B582" s="94">
        <f t="shared" si="9"/>
        <v>0</v>
      </c>
      <c r="C582" s="100"/>
      <c r="D582" s="96"/>
      <c r="E582" s="102"/>
    </row>
    <row r="583" spans="1:5" x14ac:dyDescent="0.2">
      <c r="A583" s="93"/>
      <c r="B583" s="94">
        <f t="shared" ref="B583:B646" si="10">WEEKNUM(A583,1)</f>
        <v>0</v>
      </c>
      <c r="C583" s="100"/>
      <c r="D583" s="96"/>
      <c r="E583" s="102"/>
    </row>
    <row r="584" spans="1:5" x14ac:dyDescent="0.2">
      <c r="A584" s="93"/>
      <c r="B584" s="94">
        <f t="shared" si="10"/>
        <v>0</v>
      </c>
      <c r="C584" s="100"/>
      <c r="D584" s="96"/>
      <c r="E584" s="102"/>
    </row>
    <row r="585" spans="1:5" x14ac:dyDescent="0.2">
      <c r="A585" s="93"/>
      <c r="B585" s="94">
        <f t="shared" si="10"/>
        <v>0</v>
      </c>
      <c r="C585" s="100"/>
      <c r="D585" s="96"/>
      <c r="E585" s="102"/>
    </row>
    <row r="586" spans="1:5" x14ac:dyDescent="0.2">
      <c r="A586" s="93"/>
      <c r="B586" s="94">
        <f t="shared" si="10"/>
        <v>0</v>
      </c>
      <c r="C586" s="100"/>
      <c r="D586" s="96"/>
      <c r="E586" s="102"/>
    </row>
    <row r="587" spans="1:5" x14ac:dyDescent="0.2">
      <c r="A587" s="93"/>
      <c r="B587" s="94">
        <f t="shared" si="10"/>
        <v>0</v>
      </c>
      <c r="C587" s="100"/>
      <c r="D587" s="96"/>
      <c r="E587" s="102"/>
    </row>
    <row r="588" spans="1:5" x14ac:dyDescent="0.2">
      <c r="A588" s="93"/>
      <c r="B588" s="94">
        <f t="shared" si="10"/>
        <v>0</v>
      </c>
      <c r="C588" s="100"/>
      <c r="D588" s="96"/>
      <c r="E588" s="102"/>
    </row>
    <row r="589" spans="1:5" x14ac:dyDescent="0.2">
      <c r="A589" s="93"/>
      <c r="B589" s="94">
        <f t="shared" si="10"/>
        <v>0</v>
      </c>
      <c r="C589" s="100"/>
      <c r="D589" s="96"/>
      <c r="E589" s="102"/>
    </row>
    <row r="590" spans="1:5" x14ac:dyDescent="0.2">
      <c r="A590" s="93"/>
      <c r="B590" s="94">
        <f t="shared" si="10"/>
        <v>0</v>
      </c>
      <c r="C590" s="100"/>
      <c r="D590" s="96"/>
      <c r="E590" s="102"/>
    </row>
    <row r="591" spans="1:5" x14ac:dyDescent="0.2">
      <c r="A591" s="93"/>
      <c r="B591" s="94">
        <f t="shared" si="10"/>
        <v>0</v>
      </c>
      <c r="C591" s="100"/>
      <c r="D591" s="96"/>
      <c r="E591" s="102"/>
    </row>
    <row r="592" spans="1:5" x14ac:dyDescent="0.2">
      <c r="A592" s="93"/>
      <c r="B592" s="94">
        <f t="shared" si="10"/>
        <v>0</v>
      </c>
      <c r="C592" s="100"/>
      <c r="D592" s="96"/>
      <c r="E592" s="102"/>
    </row>
    <row r="593" spans="1:5" x14ac:dyDescent="0.2">
      <c r="A593" s="93"/>
      <c r="B593" s="94">
        <f t="shared" si="10"/>
        <v>0</v>
      </c>
      <c r="C593" s="100"/>
      <c r="D593" s="96"/>
      <c r="E593" s="102"/>
    </row>
    <row r="594" spans="1:5" x14ac:dyDescent="0.2">
      <c r="A594" s="93"/>
      <c r="B594" s="94">
        <f t="shared" si="10"/>
        <v>0</v>
      </c>
      <c r="C594" s="100"/>
      <c r="D594" s="96"/>
      <c r="E594" s="102"/>
    </row>
    <row r="595" spans="1:5" x14ac:dyDescent="0.2">
      <c r="A595" s="93"/>
      <c r="B595" s="94">
        <f t="shared" si="10"/>
        <v>0</v>
      </c>
      <c r="C595" s="100"/>
      <c r="D595" s="96"/>
      <c r="E595" s="102"/>
    </row>
    <row r="596" spans="1:5" x14ac:dyDescent="0.2">
      <c r="A596" s="93"/>
      <c r="B596" s="94">
        <f t="shared" si="10"/>
        <v>0</v>
      </c>
      <c r="C596" s="100"/>
      <c r="D596" s="96"/>
      <c r="E596" s="102"/>
    </row>
    <row r="597" spans="1:5" x14ac:dyDescent="0.2">
      <c r="A597" s="93"/>
      <c r="B597" s="94">
        <f t="shared" si="10"/>
        <v>0</v>
      </c>
      <c r="C597" s="100"/>
      <c r="D597" s="96"/>
      <c r="E597" s="102"/>
    </row>
    <row r="598" spans="1:5" x14ac:dyDescent="0.2">
      <c r="A598" s="93"/>
      <c r="B598" s="94">
        <f t="shared" si="10"/>
        <v>0</v>
      </c>
      <c r="C598" s="100"/>
      <c r="D598" s="96"/>
      <c r="E598" s="102"/>
    </row>
    <row r="599" spans="1:5" x14ac:dyDescent="0.2">
      <c r="A599" s="93"/>
      <c r="B599" s="94">
        <f t="shared" si="10"/>
        <v>0</v>
      </c>
      <c r="C599" s="100"/>
      <c r="D599" s="96"/>
      <c r="E599" s="102"/>
    </row>
    <row r="600" spans="1:5" x14ac:dyDescent="0.2">
      <c r="A600" s="93"/>
      <c r="B600" s="94">
        <f t="shared" si="10"/>
        <v>0</v>
      </c>
      <c r="C600" s="100"/>
      <c r="D600" s="96"/>
      <c r="E600" s="102"/>
    </row>
    <row r="601" spans="1:5" x14ac:dyDescent="0.2">
      <c r="A601" s="93"/>
      <c r="B601" s="94">
        <f t="shared" si="10"/>
        <v>0</v>
      </c>
      <c r="C601" s="100"/>
      <c r="D601" s="96"/>
      <c r="E601" s="102"/>
    </row>
    <row r="602" spans="1:5" x14ac:dyDescent="0.2">
      <c r="A602" s="93"/>
      <c r="B602" s="94">
        <f t="shared" si="10"/>
        <v>0</v>
      </c>
      <c r="C602" s="100"/>
      <c r="D602" s="96"/>
      <c r="E602" s="102"/>
    </row>
    <row r="603" spans="1:5" x14ac:dyDescent="0.2">
      <c r="A603" s="93"/>
      <c r="B603" s="94">
        <f t="shared" si="10"/>
        <v>0</v>
      </c>
      <c r="C603" s="100"/>
      <c r="D603" s="96"/>
      <c r="E603" s="102"/>
    </row>
    <row r="604" spans="1:5" x14ac:dyDescent="0.2">
      <c r="A604" s="93"/>
      <c r="B604" s="94">
        <f t="shared" si="10"/>
        <v>0</v>
      </c>
      <c r="C604" s="100"/>
      <c r="D604" s="96"/>
      <c r="E604" s="102"/>
    </row>
    <row r="605" spans="1:5" x14ac:dyDescent="0.2">
      <c r="A605" s="93"/>
      <c r="B605" s="94">
        <f t="shared" si="10"/>
        <v>0</v>
      </c>
      <c r="C605" s="100"/>
      <c r="D605" s="96"/>
      <c r="E605" s="102"/>
    </row>
    <row r="606" spans="1:5" x14ac:dyDescent="0.2">
      <c r="A606" s="93"/>
      <c r="B606" s="94">
        <f t="shared" si="10"/>
        <v>0</v>
      </c>
      <c r="C606" s="100"/>
      <c r="D606" s="96"/>
      <c r="E606" s="102"/>
    </row>
    <row r="607" spans="1:5" x14ac:dyDescent="0.2">
      <c r="A607" s="93"/>
      <c r="B607" s="94">
        <f t="shared" si="10"/>
        <v>0</v>
      </c>
      <c r="C607" s="100"/>
      <c r="D607" s="96"/>
      <c r="E607" s="102"/>
    </row>
    <row r="608" spans="1:5" x14ac:dyDescent="0.2">
      <c r="A608" s="93"/>
      <c r="B608" s="94">
        <f t="shared" si="10"/>
        <v>0</v>
      </c>
      <c r="C608" s="100"/>
      <c r="D608" s="96"/>
      <c r="E608" s="102"/>
    </row>
    <row r="609" spans="1:5" x14ac:dyDescent="0.2">
      <c r="A609" s="93"/>
      <c r="B609" s="94">
        <f t="shared" si="10"/>
        <v>0</v>
      </c>
      <c r="C609" s="100"/>
      <c r="D609" s="96"/>
      <c r="E609" s="102"/>
    </row>
    <row r="610" spans="1:5" x14ac:dyDescent="0.2">
      <c r="A610" s="93"/>
      <c r="B610" s="94">
        <f t="shared" si="10"/>
        <v>0</v>
      </c>
      <c r="C610" s="100"/>
      <c r="D610" s="96"/>
      <c r="E610" s="102"/>
    </row>
    <row r="611" spans="1:5" x14ac:dyDescent="0.2">
      <c r="A611" s="93"/>
      <c r="B611" s="94">
        <f t="shared" si="10"/>
        <v>0</v>
      </c>
      <c r="C611" s="100"/>
      <c r="D611" s="96"/>
      <c r="E611" s="102"/>
    </row>
    <row r="612" spans="1:5" x14ac:dyDescent="0.2">
      <c r="A612" s="93"/>
      <c r="B612" s="94">
        <f t="shared" si="10"/>
        <v>0</v>
      </c>
      <c r="C612" s="100"/>
      <c r="D612" s="96"/>
      <c r="E612" s="102"/>
    </row>
    <row r="613" spans="1:5" x14ac:dyDescent="0.2">
      <c r="A613" s="93"/>
      <c r="B613" s="94">
        <f t="shared" si="10"/>
        <v>0</v>
      </c>
      <c r="C613" s="100"/>
      <c r="D613" s="96"/>
      <c r="E613" s="102"/>
    </row>
    <row r="614" spans="1:5" x14ac:dyDescent="0.2">
      <c r="A614" s="93"/>
      <c r="B614" s="94">
        <f t="shared" si="10"/>
        <v>0</v>
      </c>
      <c r="C614" s="100"/>
      <c r="D614" s="96"/>
      <c r="E614" s="102"/>
    </row>
    <row r="615" spans="1:5" x14ac:dyDescent="0.2">
      <c r="A615" s="93"/>
      <c r="B615" s="94">
        <f t="shared" si="10"/>
        <v>0</v>
      </c>
      <c r="C615" s="100"/>
      <c r="D615" s="96"/>
      <c r="E615" s="102"/>
    </row>
    <row r="616" spans="1:5" x14ac:dyDescent="0.2">
      <c r="A616" s="93"/>
      <c r="B616" s="94">
        <f t="shared" si="10"/>
        <v>0</v>
      </c>
      <c r="C616" s="100"/>
      <c r="D616" s="96"/>
      <c r="E616" s="102"/>
    </row>
    <row r="617" spans="1:5" x14ac:dyDescent="0.2">
      <c r="A617" s="93"/>
      <c r="B617" s="94">
        <f t="shared" si="10"/>
        <v>0</v>
      </c>
      <c r="C617" s="100"/>
      <c r="D617" s="96"/>
      <c r="E617" s="102"/>
    </row>
    <row r="618" spans="1:5" x14ac:dyDescent="0.2">
      <c r="A618" s="93"/>
      <c r="B618" s="94">
        <f t="shared" si="10"/>
        <v>0</v>
      </c>
      <c r="C618" s="100"/>
      <c r="D618" s="96"/>
      <c r="E618" s="102"/>
    </row>
    <row r="619" spans="1:5" x14ac:dyDescent="0.2">
      <c r="A619" s="93"/>
      <c r="B619" s="94">
        <f t="shared" si="10"/>
        <v>0</v>
      </c>
      <c r="C619" s="100"/>
      <c r="D619" s="96"/>
      <c r="E619" s="102"/>
    </row>
    <row r="620" spans="1:5" x14ac:dyDescent="0.2">
      <c r="A620" s="93"/>
      <c r="B620" s="94">
        <f t="shared" si="10"/>
        <v>0</v>
      </c>
      <c r="C620" s="100"/>
      <c r="D620" s="96"/>
      <c r="E620" s="102"/>
    </row>
    <row r="621" spans="1:5" x14ac:dyDescent="0.2">
      <c r="A621" s="93"/>
      <c r="B621" s="94">
        <f t="shared" si="10"/>
        <v>0</v>
      </c>
      <c r="C621" s="100"/>
      <c r="D621" s="96"/>
      <c r="E621" s="102"/>
    </row>
    <row r="622" spans="1:5" x14ac:dyDescent="0.2">
      <c r="A622" s="93"/>
      <c r="B622" s="94">
        <f t="shared" si="10"/>
        <v>0</v>
      </c>
      <c r="C622" s="100"/>
      <c r="D622" s="96"/>
      <c r="E622" s="102"/>
    </row>
    <row r="623" spans="1:5" x14ac:dyDescent="0.2">
      <c r="A623" s="93"/>
      <c r="B623" s="94">
        <f t="shared" si="10"/>
        <v>0</v>
      </c>
      <c r="C623" s="100"/>
      <c r="D623" s="96"/>
      <c r="E623" s="102"/>
    </row>
    <row r="624" spans="1:5" x14ac:dyDescent="0.2">
      <c r="A624" s="93"/>
      <c r="B624" s="94">
        <f t="shared" si="10"/>
        <v>0</v>
      </c>
      <c r="C624" s="100"/>
      <c r="D624" s="96"/>
      <c r="E624" s="102"/>
    </row>
    <row r="625" spans="1:5" x14ac:dyDescent="0.2">
      <c r="A625" s="93"/>
      <c r="B625" s="94">
        <f t="shared" si="10"/>
        <v>0</v>
      </c>
      <c r="C625" s="100"/>
      <c r="D625" s="96"/>
      <c r="E625" s="102"/>
    </row>
    <row r="626" spans="1:5" x14ac:dyDescent="0.2">
      <c r="A626" s="93"/>
      <c r="B626" s="94">
        <f t="shared" si="10"/>
        <v>0</v>
      </c>
      <c r="C626" s="100"/>
      <c r="D626" s="96"/>
      <c r="E626" s="102"/>
    </row>
    <row r="627" spans="1:5" x14ac:dyDescent="0.2">
      <c r="A627" s="93"/>
      <c r="B627" s="94">
        <f t="shared" si="10"/>
        <v>0</v>
      </c>
      <c r="C627" s="100"/>
      <c r="D627" s="96"/>
      <c r="E627" s="102"/>
    </row>
    <row r="628" spans="1:5" x14ac:dyDescent="0.2">
      <c r="A628" s="93"/>
      <c r="B628" s="94">
        <f t="shared" si="10"/>
        <v>0</v>
      </c>
      <c r="C628" s="100"/>
      <c r="D628" s="96"/>
      <c r="E628" s="102"/>
    </row>
    <row r="629" spans="1:5" x14ac:dyDescent="0.2">
      <c r="A629" s="93"/>
      <c r="B629" s="94">
        <f t="shared" si="10"/>
        <v>0</v>
      </c>
      <c r="C629" s="100"/>
      <c r="D629" s="96"/>
      <c r="E629" s="102"/>
    </row>
    <row r="630" spans="1:5" x14ac:dyDescent="0.2">
      <c r="A630" s="93"/>
      <c r="B630" s="94">
        <f t="shared" si="10"/>
        <v>0</v>
      </c>
      <c r="C630" s="100"/>
      <c r="D630" s="96"/>
      <c r="E630" s="102"/>
    </row>
    <row r="631" spans="1:5" x14ac:dyDescent="0.2">
      <c r="A631" s="93"/>
      <c r="B631" s="94">
        <f t="shared" si="10"/>
        <v>0</v>
      </c>
      <c r="C631" s="100"/>
      <c r="D631" s="96"/>
      <c r="E631" s="102"/>
    </row>
    <row r="632" spans="1:5" x14ac:dyDescent="0.2">
      <c r="A632" s="93"/>
      <c r="B632" s="94">
        <f t="shared" si="10"/>
        <v>0</v>
      </c>
      <c r="C632" s="100"/>
      <c r="D632" s="96"/>
      <c r="E632" s="102"/>
    </row>
    <row r="633" spans="1:5" x14ac:dyDescent="0.2">
      <c r="A633" s="93"/>
      <c r="B633" s="94">
        <f t="shared" si="10"/>
        <v>0</v>
      </c>
      <c r="C633" s="100"/>
      <c r="D633" s="96"/>
      <c r="E633" s="102"/>
    </row>
    <row r="634" spans="1:5" x14ac:dyDescent="0.2">
      <c r="A634" s="93"/>
      <c r="B634" s="94">
        <f t="shared" si="10"/>
        <v>0</v>
      </c>
      <c r="C634" s="100"/>
      <c r="D634" s="96"/>
      <c r="E634" s="102"/>
    </row>
    <row r="635" spans="1:5" x14ac:dyDescent="0.2">
      <c r="A635" s="93"/>
      <c r="B635" s="94">
        <f t="shared" si="10"/>
        <v>0</v>
      </c>
      <c r="C635" s="100"/>
      <c r="D635" s="96"/>
      <c r="E635" s="102"/>
    </row>
    <row r="636" spans="1:5" x14ac:dyDescent="0.2">
      <c r="A636" s="93"/>
      <c r="B636" s="94">
        <f t="shared" si="10"/>
        <v>0</v>
      </c>
      <c r="C636" s="100"/>
      <c r="D636" s="96"/>
      <c r="E636" s="102"/>
    </row>
    <row r="637" spans="1:5" x14ac:dyDescent="0.2">
      <c r="A637" s="93"/>
      <c r="B637" s="94">
        <f t="shared" si="10"/>
        <v>0</v>
      </c>
      <c r="C637" s="100"/>
      <c r="D637" s="96"/>
      <c r="E637" s="102"/>
    </row>
    <row r="638" spans="1:5" x14ac:dyDescent="0.2">
      <c r="A638" s="93"/>
      <c r="B638" s="94">
        <f t="shared" si="10"/>
        <v>0</v>
      </c>
      <c r="C638" s="100"/>
      <c r="D638" s="96"/>
      <c r="E638" s="102"/>
    </row>
    <row r="639" spans="1:5" x14ac:dyDescent="0.2">
      <c r="A639" s="93"/>
      <c r="B639" s="94">
        <f t="shared" si="10"/>
        <v>0</v>
      </c>
      <c r="C639" s="100"/>
      <c r="D639" s="96"/>
      <c r="E639" s="102"/>
    </row>
    <row r="640" spans="1:5" x14ac:dyDescent="0.2">
      <c r="A640" s="93"/>
      <c r="B640" s="94">
        <f t="shared" si="10"/>
        <v>0</v>
      </c>
      <c r="C640" s="100"/>
      <c r="D640" s="96"/>
      <c r="E640" s="102"/>
    </row>
    <row r="641" spans="1:5" x14ac:dyDescent="0.2">
      <c r="A641" s="93"/>
      <c r="B641" s="94">
        <f t="shared" si="10"/>
        <v>0</v>
      </c>
      <c r="C641" s="100"/>
      <c r="D641" s="96"/>
      <c r="E641" s="102"/>
    </row>
    <row r="642" spans="1:5" x14ac:dyDescent="0.2">
      <c r="A642" s="93"/>
      <c r="B642" s="94">
        <f t="shared" si="10"/>
        <v>0</v>
      </c>
      <c r="C642" s="100"/>
      <c r="D642" s="96"/>
      <c r="E642" s="102"/>
    </row>
    <row r="643" spans="1:5" x14ac:dyDescent="0.2">
      <c r="A643" s="93"/>
      <c r="B643" s="94">
        <f t="shared" si="10"/>
        <v>0</v>
      </c>
      <c r="C643" s="100"/>
      <c r="D643" s="96"/>
      <c r="E643" s="102"/>
    </row>
    <row r="644" spans="1:5" x14ac:dyDescent="0.2">
      <c r="A644" s="93"/>
      <c r="B644" s="94">
        <f t="shared" si="10"/>
        <v>0</v>
      </c>
      <c r="C644" s="100"/>
      <c r="D644" s="96"/>
      <c r="E644" s="102"/>
    </row>
    <row r="645" spans="1:5" x14ac:dyDescent="0.2">
      <c r="A645" s="93"/>
      <c r="B645" s="94">
        <f t="shared" si="10"/>
        <v>0</v>
      </c>
      <c r="C645" s="100"/>
      <c r="D645" s="96"/>
      <c r="E645" s="102"/>
    </row>
    <row r="646" spans="1:5" x14ac:dyDescent="0.2">
      <c r="A646" s="93"/>
      <c r="B646" s="94">
        <f t="shared" si="10"/>
        <v>0</v>
      </c>
      <c r="C646" s="100"/>
      <c r="D646" s="96"/>
      <c r="E646" s="102"/>
    </row>
    <row r="647" spans="1:5" x14ac:dyDescent="0.2">
      <c r="A647" s="93"/>
      <c r="B647" s="94">
        <f t="shared" ref="B647:B710" si="11">WEEKNUM(A647,1)</f>
        <v>0</v>
      </c>
      <c r="C647" s="100"/>
      <c r="D647" s="96"/>
      <c r="E647" s="102"/>
    </row>
    <row r="648" spans="1:5" x14ac:dyDescent="0.2">
      <c r="A648" s="93"/>
      <c r="B648" s="94">
        <f t="shared" si="11"/>
        <v>0</v>
      </c>
      <c r="C648" s="100"/>
      <c r="D648" s="96"/>
      <c r="E648" s="102"/>
    </row>
    <row r="649" spans="1:5" x14ac:dyDescent="0.2">
      <c r="A649" s="93"/>
      <c r="B649" s="94">
        <f t="shared" si="11"/>
        <v>0</v>
      </c>
      <c r="C649" s="100"/>
      <c r="D649" s="96"/>
      <c r="E649" s="102"/>
    </row>
    <row r="650" spans="1:5" x14ac:dyDescent="0.2">
      <c r="A650" s="93"/>
      <c r="B650" s="94">
        <f t="shared" si="11"/>
        <v>0</v>
      </c>
      <c r="C650" s="100"/>
      <c r="D650" s="96"/>
      <c r="E650" s="102"/>
    </row>
    <row r="651" spans="1:5" x14ac:dyDescent="0.2">
      <c r="A651" s="93"/>
      <c r="B651" s="94">
        <f t="shared" si="11"/>
        <v>0</v>
      </c>
      <c r="C651" s="100"/>
      <c r="D651" s="96"/>
      <c r="E651" s="102"/>
    </row>
    <row r="652" spans="1:5" x14ac:dyDescent="0.2">
      <c r="A652" s="93"/>
      <c r="B652" s="94">
        <f t="shared" si="11"/>
        <v>0</v>
      </c>
      <c r="C652" s="100"/>
      <c r="D652" s="96"/>
      <c r="E652" s="102"/>
    </row>
    <row r="653" spans="1:5" x14ac:dyDescent="0.2">
      <c r="A653" s="93"/>
      <c r="B653" s="94">
        <f t="shared" si="11"/>
        <v>0</v>
      </c>
      <c r="C653" s="100"/>
      <c r="D653" s="96"/>
      <c r="E653" s="102"/>
    </row>
    <row r="654" spans="1:5" x14ac:dyDescent="0.2">
      <c r="A654" s="93"/>
      <c r="B654" s="94">
        <f t="shared" si="11"/>
        <v>0</v>
      </c>
      <c r="C654" s="100"/>
      <c r="D654" s="96"/>
      <c r="E654" s="102"/>
    </row>
    <row r="655" spans="1:5" x14ac:dyDescent="0.2">
      <c r="A655" s="93"/>
      <c r="B655" s="94">
        <f t="shared" si="11"/>
        <v>0</v>
      </c>
      <c r="C655" s="100"/>
      <c r="D655" s="96"/>
      <c r="E655" s="102"/>
    </row>
    <row r="656" spans="1:5" x14ac:dyDescent="0.2">
      <c r="A656" s="93"/>
      <c r="B656" s="94">
        <f t="shared" si="11"/>
        <v>0</v>
      </c>
      <c r="C656" s="100"/>
      <c r="D656" s="96"/>
      <c r="E656" s="102"/>
    </row>
    <row r="657" spans="1:5" x14ac:dyDescent="0.2">
      <c r="A657" s="93"/>
      <c r="B657" s="94">
        <f t="shared" si="11"/>
        <v>0</v>
      </c>
      <c r="C657" s="100"/>
      <c r="D657" s="96"/>
      <c r="E657" s="102"/>
    </row>
    <row r="658" spans="1:5" x14ac:dyDescent="0.2">
      <c r="A658" s="93"/>
      <c r="B658" s="94">
        <f t="shared" si="11"/>
        <v>0</v>
      </c>
      <c r="C658" s="100"/>
      <c r="D658" s="96"/>
      <c r="E658" s="102"/>
    </row>
    <row r="659" spans="1:5" x14ac:dyDescent="0.2">
      <c r="A659" s="93"/>
      <c r="B659" s="94">
        <f t="shared" si="11"/>
        <v>0</v>
      </c>
      <c r="C659" s="100"/>
      <c r="D659" s="96"/>
      <c r="E659" s="102"/>
    </row>
    <row r="660" spans="1:5" x14ac:dyDescent="0.2">
      <c r="A660" s="93"/>
      <c r="B660" s="94">
        <f t="shared" si="11"/>
        <v>0</v>
      </c>
      <c r="C660" s="100"/>
      <c r="D660" s="96"/>
      <c r="E660" s="102"/>
    </row>
    <row r="661" spans="1:5" x14ac:dyDescent="0.2">
      <c r="A661" s="93"/>
      <c r="B661" s="94">
        <f t="shared" si="11"/>
        <v>0</v>
      </c>
      <c r="C661" s="100"/>
      <c r="D661" s="96"/>
      <c r="E661" s="102"/>
    </row>
    <row r="662" spans="1:5" x14ac:dyDescent="0.2">
      <c r="A662" s="93"/>
      <c r="B662" s="94">
        <f t="shared" si="11"/>
        <v>0</v>
      </c>
      <c r="C662" s="100"/>
      <c r="D662" s="96"/>
      <c r="E662" s="102"/>
    </row>
    <row r="663" spans="1:5" x14ac:dyDescent="0.2">
      <c r="A663" s="93"/>
      <c r="B663" s="94">
        <f t="shared" si="11"/>
        <v>0</v>
      </c>
      <c r="C663" s="100"/>
      <c r="D663" s="96"/>
      <c r="E663" s="102"/>
    </row>
    <row r="664" spans="1:5" x14ac:dyDescent="0.2">
      <c r="A664" s="93"/>
      <c r="B664" s="94">
        <f t="shared" si="11"/>
        <v>0</v>
      </c>
      <c r="C664" s="100"/>
      <c r="D664" s="96"/>
      <c r="E664" s="102"/>
    </row>
    <row r="665" spans="1:5" x14ac:dyDescent="0.2">
      <c r="A665" s="93"/>
      <c r="B665" s="94">
        <f t="shared" si="11"/>
        <v>0</v>
      </c>
      <c r="C665" s="100"/>
      <c r="D665" s="96"/>
      <c r="E665" s="102"/>
    </row>
    <row r="666" spans="1:5" x14ac:dyDescent="0.2">
      <c r="A666" s="93"/>
      <c r="B666" s="94">
        <f t="shared" si="11"/>
        <v>0</v>
      </c>
      <c r="C666" s="100"/>
      <c r="D666" s="96"/>
      <c r="E666" s="102"/>
    </row>
    <row r="667" spans="1:5" x14ac:dyDescent="0.2">
      <c r="A667" s="93"/>
      <c r="B667" s="94">
        <f t="shared" si="11"/>
        <v>0</v>
      </c>
      <c r="C667" s="100"/>
      <c r="D667" s="96"/>
      <c r="E667" s="102"/>
    </row>
    <row r="668" spans="1:5" x14ac:dyDescent="0.2">
      <c r="A668" s="93"/>
      <c r="B668" s="94">
        <f t="shared" si="11"/>
        <v>0</v>
      </c>
      <c r="C668" s="100"/>
      <c r="D668" s="96"/>
      <c r="E668" s="102"/>
    </row>
    <row r="669" spans="1:5" x14ac:dyDescent="0.2">
      <c r="A669" s="93"/>
      <c r="B669" s="94">
        <f t="shared" si="11"/>
        <v>0</v>
      </c>
      <c r="C669" s="100"/>
      <c r="D669" s="96"/>
      <c r="E669" s="102"/>
    </row>
    <row r="670" spans="1:5" x14ac:dyDescent="0.2">
      <c r="A670" s="93"/>
      <c r="B670" s="94">
        <f t="shared" si="11"/>
        <v>0</v>
      </c>
      <c r="C670" s="100"/>
      <c r="D670" s="96"/>
      <c r="E670" s="102"/>
    </row>
    <row r="671" spans="1:5" x14ac:dyDescent="0.2">
      <c r="A671" s="93"/>
      <c r="B671" s="94">
        <f t="shared" si="11"/>
        <v>0</v>
      </c>
      <c r="C671" s="100"/>
      <c r="D671" s="96"/>
      <c r="E671" s="102"/>
    </row>
    <row r="672" spans="1:5" x14ac:dyDescent="0.2">
      <c r="A672" s="93"/>
      <c r="B672" s="94">
        <f t="shared" si="11"/>
        <v>0</v>
      </c>
      <c r="C672" s="100"/>
      <c r="D672" s="96"/>
      <c r="E672" s="102"/>
    </row>
    <row r="673" spans="1:5" x14ac:dyDescent="0.2">
      <c r="A673" s="93"/>
      <c r="B673" s="94">
        <f t="shared" si="11"/>
        <v>0</v>
      </c>
      <c r="C673" s="100"/>
      <c r="D673" s="96"/>
      <c r="E673" s="102"/>
    </row>
    <row r="674" spans="1:5" x14ac:dyDescent="0.2">
      <c r="A674" s="93"/>
      <c r="B674" s="94">
        <f t="shared" si="11"/>
        <v>0</v>
      </c>
      <c r="C674" s="100"/>
      <c r="D674" s="96"/>
      <c r="E674" s="102"/>
    </row>
    <row r="675" spans="1:5" x14ac:dyDescent="0.2">
      <c r="A675" s="93"/>
      <c r="B675" s="94">
        <f t="shared" si="11"/>
        <v>0</v>
      </c>
      <c r="C675" s="100"/>
      <c r="D675" s="96"/>
      <c r="E675" s="102"/>
    </row>
    <row r="676" spans="1:5" x14ac:dyDescent="0.2">
      <c r="A676" s="93"/>
      <c r="B676" s="94">
        <f t="shared" si="11"/>
        <v>0</v>
      </c>
      <c r="C676" s="100"/>
      <c r="D676" s="96"/>
      <c r="E676" s="102"/>
    </row>
    <row r="677" spans="1:5" x14ac:dyDescent="0.2">
      <c r="A677" s="93"/>
      <c r="B677" s="94">
        <f t="shared" si="11"/>
        <v>0</v>
      </c>
      <c r="C677" s="100"/>
      <c r="D677" s="96"/>
      <c r="E677" s="102"/>
    </row>
    <row r="678" spans="1:5" x14ac:dyDescent="0.2">
      <c r="A678" s="93"/>
      <c r="B678" s="94">
        <f t="shared" si="11"/>
        <v>0</v>
      </c>
      <c r="C678" s="100"/>
      <c r="D678" s="96"/>
      <c r="E678" s="102"/>
    </row>
    <row r="679" spans="1:5" x14ac:dyDescent="0.2">
      <c r="A679" s="93"/>
      <c r="B679" s="94">
        <f t="shared" si="11"/>
        <v>0</v>
      </c>
      <c r="C679" s="100"/>
      <c r="D679" s="96"/>
      <c r="E679" s="102"/>
    </row>
    <row r="680" spans="1:5" x14ac:dyDescent="0.2">
      <c r="A680" s="93"/>
      <c r="B680" s="94">
        <f t="shared" si="11"/>
        <v>0</v>
      </c>
      <c r="C680" s="100"/>
      <c r="D680" s="96"/>
      <c r="E680" s="102"/>
    </row>
    <row r="681" spans="1:5" x14ac:dyDescent="0.2">
      <c r="A681" s="93"/>
      <c r="B681" s="94">
        <f t="shared" si="11"/>
        <v>0</v>
      </c>
      <c r="C681" s="100"/>
      <c r="D681" s="96"/>
      <c r="E681" s="102"/>
    </row>
    <row r="682" spans="1:5" x14ac:dyDescent="0.2">
      <c r="A682" s="93"/>
      <c r="B682" s="94">
        <f t="shared" si="11"/>
        <v>0</v>
      </c>
      <c r="C682" s="100"/>
      <c r="D682" s="96"/>
      <c r="E682" s="102"/>
    </row>
    <row r="683" spans="1:5" x14ac:dyDescent="0.2">
      <c r="A683" s="93"/>
      <c r="B683" s="94">
        <f t="shared" si="11"/>
        <v>0</v>
      </c>
      <c r="C683" s="100"/>
      <c r="D683" s="96"/>
      <c r="E683" s="102"/>
    </row>
    <row r="684" spans="1:5" x14ac:dyDescent="0.2">
      <c r="A684" s="93"/>
      <c r="B684" s="94">
        <f t="shared" si="11"/>
        <v>0</v>
      </c>
      <c r="C684" s="100"/>
      <c r="D684" s="96"/>
      <c r="E684" s="102"/>
    </row>
    <row r="685" spans="1:5" x14ac:dyDescent="0.2">
      <c r="A685" s="93"/>
      <c r="B685" s="94">
        <f t="shared" si="11"/>
        <v>0</v>
      </c>
      <c r="C685" s="100"/>
      <c r="D685" s="96"/>
      <c r="E685" s="102"/>
    </row>
    <row r="686" spans="1:5" x14ac:dyDescent="0.2">
      <c r="A686" s="93"/>
      <c r="B686" s="94">
        <f t="shared" si="11"/>
        <v>0</v>
      </c>
      <c r="C686" s="100"/>
      <c r="D686" s="96"/>
      <c r="E686" s="102"/>
    </row>
    <row r="687" spans="1:5" x14ac:dyDescent="0.2">
      <c r="A687" s="93"/>
      <c r="B687" s="94">
        <f t="shared" si="11"/>
        <v>0</v>
      </c>
      <c r="C687" s="100"/>
      <c r="D687" s="96"/>
      <c r="E687" s="102"/>
    </row>
    <row r="688" spans="1:5" x14ac:dyDescent="0.2">
      <c r="A688" s="93"/>
      <c r="B688" s="94">
        <f t="shared" si="11"/>
        <v>0</v>
      </c>
      <c r="C688" s="100"/>
      <c r="D688" s="96"/>
      <c r="E688" s="102"/>
    </row>
    <row r="689" spans="1:5" x14ac:dyDescent="0.2">
      <c r="A689" s="93"/>
      <c r="B689" s="94">
        <f t="shared" si="11"/>
        <v>0</v>
      </c>
      <c r="C689" s="100"/>
      <c r="D689" s="96"/>
      <c r="E689" s="102"/>
    </row>
    <row r="690" spans="1:5" x14ac:dyDescent="0.2">
      <c r="A690" s="93"/>
      <c r="B690" s="94">
        <f t="shared" si="11"/>
        <v>0</v>
      </c>
      <c r="C690" s="100"/>
      <c r="D690" s="96"/>
      <c r="E690" s="102"/>
    </row>
    <row r="691" spans="1:5" x14ac:dyDescent="0.2">
      <c r="A691" s="93"/>
      <c r="B691" s="94">
        <f t="shared" si="11"/>
        <v>0</v>
      </c>
      <c r="C691" s="100"/>
      <c r="D691" s="96"/>
      <c r="E691" s="102"/>
    </row>
    <row r="692" spans="1:5" x14ac:dyDescent="0.2">
      <c r="A692" s="93"/>
      <c r="B692" s="94">
        <f t="shared" si="11"/>
        <v>0</v>
      </c>
      <c r="C692" s="100"/>
      <c r="D692" s="96"/>
      <c r="E692" s="102"/>
    </row>
    <row r="693" spans="1:5" x14ac:dyDescent="0.2">
      <c r="A693" s="93"/>
      <c r="B693" s="94">
        <f t="shared" si="11"/>
        <v>0</v>
      </c>
      <c r="C693" s="100"/>
      <c r="D693" s="96"/>
      <c r="E693" s="102"/>
    </row>
    <row r="694" spans="1:5" x14ac:dyDescent="0.2">
      <c r="A694" s="93"/>
      <c r="B694" s="94">
        <f t="shared" si="11"/>
        <v>0</v>
      </c>
      <c r="C694" s="100"/>
      <c r="D694" s="96"/>
      <c r="E694" s="102"/>
    </row>
    <row r="695" spans="1:5" x14ac:dyDescent="0.2">
      <c r="A695" s="93"/>
      <c r="B695" s="94">
        <f t="shared" si="11"/>
        <v>0</v>
      </c>
      <c r="C695" s="100"/>
      <c r="D695" s="96"/>
      <c r="E695" s="102"/>
    </row>
    <row r="696" spans="1:5" x14ac:dyDescent="0.2">
      <c r="A696" s="93"/>
      <c r="B696" s="94">
        <f t="shared" si="11"/>
        <v>0</v>
      </c>
      <c r="C696" s="100"/>
      <c r="D696" s="96"/>
      <c r="E696" s="102"/>
    </row>
    <row r="697" spans="1:5" x14ac:dyDescent="0.2">
      <c r="A697" s="93"/>
      <c r="B697" s="94">
        <f t="shared" si="11"/>
        <v>0</v>
      </c>
      <c r="C697" s="100"/>
      <c r="D697" s="96"/>
      <c r="E697" s="102"/>
    </row>
    <row r="698" spans="1:5" x14ac:dyDescent="0.2">
      <c r="A698" s="93"/>
      <c r="B698" s="94">
        <f t="shared" si="11"/>
        <v>0</v>
      </c>
      <c r="C698" s="100"/>
      <c r="D698" s="96"/>
      <c r="E698" s="102"/>
    </row>
    <row r="699" spans="1:5" x14ac:dyDescent="0.2">
      <c r="A699" s="93"/>
      <c r="B699" s="94">
        <f t="shared" si="11"/>
        <v>0</v>
      </c>
      <c r="C699" s="100"/>
      <c r="D699" s="96"/>
      <c r="E699" s="102"/>
    </row>
    <row r="700" spans="1:5" x14ac:dyDescent="0.2">
      <c r="A700" s="93"/>
      <c r="B700" s="94">
        <f t="shared" si="11"/>
        <v>0</v>
      </c>
      <c r="C700" s="100"/>
      <c r="D700" s="96"/>
      <c r="E700" s="102"/>
    </row>
    <row r="701" spans="1:5" x14ac:dyDescent="0.2">
      <c r="A701" s="93"/>
      <c r="B701" s="94">
        <f t="shared" si="11"/>
        <v>0</v>
      </c>
      <c r="C701" s="100"/>
      <c r="D701" s="96"/>
      <c r="E701" s="102"/>
    </row>
    <row r="702" spans="1:5" x14ac:dyDescent="0.2">
      <c r="A702" s="93"/>
      <c r="B702" s="94">
        <f t="shared" si="11"/>
        <v>0</v>
      </c>
      <c r="C702" s="100"/>
      <c r="D702" s="96"/>
      <c r="E702" s="102"/>
    </row>
    <row r="703" spans="1:5" x14ac:dyDescent="0.2">
      <c r="A703" s="93"/>
      <c r="B703" s="94">
        <f t="shared" si="11"/>
        <v>0</v>
      </c>
      <c r="C703" s="100"/>
      <c r="D703" s="96"/>
      <c r="E703" s="102"/>
    </row>
    <row r="704" spans="1:5" x14ac:dyDescent="0.2">
      <c r="A704" s="93"/>
      <c r="B704" s="94">
        <f t="shared" si="11"/>
        <v>0</v>
      </c>
      <c r="C704" s="100"/>
      <c r="D704" s="96"/>
      <c r="E704" s="102"/>
    </row>
    <row r="705" spans="1:5" x14ac:dyDescent="0.2">
      <c r="A705" s="93"/>
      <c r="B705" s="94">
        <f t="shared" si="11"/>
        <v>0</v>
      </c>
      <c r="C705" s="100"/>
      <c r="D705" s="96"/>
      <c r="E705" s="102"/>
    </row>
    <row r="706" spans="1:5" x14ac:dyDescent="0.2">
      <c r="A706" s="93"/>
      <c r="B706" s="94">
        <f t="shared" si="11"/>
        <v>0</v>
      </c>
      <c r="C706" s="100"/>
      <c r="D706" s="96"/>
      <c r="E706" s="102"/>
    </row>
    <row r="707" spans="1:5" x14ac:dyDescent="0.2">
      <c r="A707" s="93"/>
      <c r="B707" s="94">
        <f t="shared" si="11"/>
        <v>0</v>
      </c>
      <c r="C707" s="100"/>
      <c r="D707" s="96"/>
      <c r="E707" s="102"/>
    </row>
    <row r="708" spans="1:5" x14ac:dyDescent="0.2">
      <c r="A708" s="93"/>
      <c r="B708" s="94">
        <f t="shared" si="11"/>
        <v>0</v>
      </c>
      <c r="C708" s="100"/>
      <c r="D708" s="96"/>
      <c r="E708" s="102"/>
    </row>
    <row r="709" spans="1:5" x14ac:dyDescent="0.2">
      <c r="A709" s="93"/>
      <c r="B709" s="94">
        <f t="shared" si="11"/>
        <v>0</v>
      </c>
      <c r="C709" s="100"/>
      <c r="D709" s="96"/>
      <c r="E709" s="102"/>
    </row>
    <row r="710" spans="1:5" x14ac:dyDescent="0.2">
      <c r="A710" s="93"/>
      <c r="B710" s="94">
        <f t="shared" si="11"/>
        <v>0</v>
      </c>
      <c r="C710" s="100"/>
      <c r="D710" s="96"/>
      <c r="E710" s="102"/>
    </row>
    <row r="711" spans="1:5" x14ac:dyDescent="0.2">
      <c r="A711" s="93"/>
      <c r="B711" s="94">
        <f t="shared" ref="B711:B761" si="12">WEEKNUM(A711,1)</f>
        <v>0</v>
      </c>
      <c r="C711" s="100"/>
      <c r="D711" s="96"/>
      <c r="E711" s="102"/>
    </row>
    <row r="712" spans="1:5" x14ac:dyDescent="0.2">
      <c r="A712" s="93"/>
      <c r="B712" s="94">
        <f t="shared" si="12"/>
        <v>0</v>
      </c>
      <c r="C712" s="100"/>
      <c r="D712" s="96"/>
      <c r="E712" s="102"/>
    </row>
    <row r="713" spans="1:5" x14ac:dyDescent="0.2">
      <c r="A713" s="93"/>
      <c r="B713" s="94">
        <f t="shared" si="12"/>
        <v>0</v>
      </c>
      <c r="C713" s="100"/>
      <c r="D713" s="96"/>
      <c r="E713" s="102"/>
    </row>
    <row r="714" spans="1:5" x14ac:dyDescent="0.2">
      <c r="A714" s="93"/>
      <c r="B714" s="94">
        <f t="shared" si="12"/>
        <v>0</v>
      </c>
      <c r="C714" s="100"/>
      <c r="D714" s="96"/>
      <c r="E714" s="102"/>
    </row>
    <row r="715" spans="1:5" x14ac:dyDescent="0.2">
      <c r="A715" s="93"/>
      <c r="B715" s="94">
        <f t="shared" si="12"/>
        <v>0</v>
      </c>
      <c r="C715" s="100"/>
      <c r="D715" s="96"/>
      <c r="E715" s="102"/>
    </row>
    <row r="716" spans="1:5" x14ac:dyDescent="0.2">
      <c r="A716" s="93"/>
      <c r="B716" s="94">
        <f t="shared" si="12"/>
        <v>0</v>
      </c>
      <c r="C716" s="100"/>
      <c r="D716" s="96"/>
      <c r="E716" s="102"/>
    </row>
    <row r="717" spans="1:5" x14ac:dyDescent="0.2">
      <c r="A717" s="93"/>
      <c r="B717" s="94">
        <f t="shared" si="12"/>
        <v>0</v>
      </c>
      <c r="C717" s="100"/>
      <c r="D717" s="96"/>
      <c r="E717" s="102"/>
    </row>
    <row r="718" spans="1:5" x14ac:dyDescent="0.2">
      <c r="A718" s="93"/>
      <c r="B718" s="94">
        <f t="shared" si="12"/>
        <v>0</v>
      </c>
      <c r="C718" s="100"/>
      <c r="D718" s="96"/>
      <c r="E718" s="102"/>
    </row>
    <row r="719" spans="1:5" x14ac:dyDescent="0.2">
      <c r="A719" s="93"/>
      <c r="B719" s="94">
        <f t="shared" si="12"/>
        <v>0</v>
      </c>
      <c r="C719" s="100"/>
      <c r="D719" s="96"/>
      <c r="E719" s="102"/>
    </row>
    <row r="720" spans="1:5" x14ac:dyDescent="0.2">
      <c r="A720" s="93"/>
      <c r="B720" s="94">
        <f t="shared" si="12"/>
        <v>0</v>
      </c>
      <c r="C720" s="100"/>
      <c r="D720" s="96"/>
      <c r="E720" s="102"/>
    </row>
    <row r="721" spans="1:5" x14ac:dyDescent="0.2">
      <c r="A721" s="93"/>
      <c r="B721" s="94">
        <f t="shared" si="12"/>
        <v>0</v>
      </c>
      <c r="C721" s="100"/>
      <c r="D721" s="96"/>
      <c r="E721" s="102"/>
    </row>
    <row r="722" spans="1:5" x14ac:dyDescent="0.2">
      <c r="A722" s="93"/>
      <c r="B722" s="94">
        <f t="shared" si="12"/>
        <v>0</v>
      </c>
      <c r="C722" s="100"/>
      <c r="D722" s="96"/>
      <c r="E722" s="102"/>
    </row>
    <row r="723" spans="1:5" x14ac:dyDescent="0.2">
      <c r="A723" s="93"/>
      <c r="B723" s="94">
        <f t="shared" si="12"/>
        <v>0</v>
      </c>
      <c r="C723" s="100"/>
      <c r="D723" s="96"/>
      <c r="E723" s="102"/>
    </row>
    <row r="724" spans="1:5" x14ac:dyDescent="0.2">
      <c r="A724" s="93"/>
      <c r="B724" s="94">
        <f t="shared" si="12"/>
        <v>0</v>
      </c>
      <c r="C724" s="100"/>
      <c r="D724" s="96"/>
      <c r="E724" s="102"/>
    </row>
    <row r="725" spans="1:5" x14ac:dyDescent="0.2">
      <c r="A725" s="93"/>
      <c r="B725" s="94">
        <f t="shared" si="12"/>
        <v>0</v>
      </c>
      <c r="C725" s="100"/>
      <c r="D725" s="96"/>
      <c r="E725" s="102"/>
    </row>
    <row r="726" spans="1:5" x14ac:dyDescent="0.2">
      <c r="A726" s="93"/>
      <c r="B726" s="94">
        <f t="shared" si="12"/>
        <v>0</v>
      </c>
      <c r="C726" s="100"/>
      <c r="D726" s="96"/>
      <c r="E726" s="102"/>
    </row>
    <row r="727" spans="1:5" x14ac:dyDescent="0.2">
      <c r="A727" s="93"/>
      <c r="B727" s="94">
        <f t="shared" si="12"/>
        <v>0</v>
      </c>
      <c r="C727" s="100"/>
      <c r="D727" s="96"/>
      <c r="E727" s="102"/>
    </row>
    <row r="728" spans="1:5" x14ac:dyDescent="0.2">
      <c r="A728" s="93"/>
      <c r="B728" s="94">
        <f t="shared" si="12"/>
        <v>0</v>
      </c>
      <c r="C728" s="100"/>
      <c r="D728" s="96"/>
      <c r="E728" s="102"/>
    </row>
    <row r="729" spans="1:5" x14ac:dyDescent="0.2">
      <c r="A729" s="93"/>
      <c r="B729" s="94">
        <f t="shared" si="12"/>
        <v>0</v>
      </c>
      <c r="C729" s="100"/>
      <c r="D729" s="96"/>
      <c r="E729" s="102"/>
    </row>
    <row r="730" spans="1:5" x14ac:dyDescent="0.2">
      <c r="A730" s="93"/>
      <c r="B730" s="94">
        <f t="shared" si="12"/>
        <v>0</v>
      </c>
      <c r="C730" s="100"/>
      <c r="D730" s="96"/>
      <c r="E730" s="102"/>
    </row>
    <row r="731" spans="1:5" x14ac:dyDescent="0.2">
      <c r="A731" s="93"/>
      <c r="B731" s="94">
        <f t="shared" si="12"/>
        <v>0</v>
      </c>
      <c r="C731" s="100"/>
      <c r="D731" s="96"/>
      <c r="E731" s="102"/>
    </row>
    <row r="732" spans="1:5" x14ac:dyDescent="0.2">
      <c r="A732" s="93"/>
      <c r="B732" s="94">
        <f t="shared" si="12"/>
        <v>0</v>
      </c>
      <c r="C732" s="100"/>
      <c r="D732" s="96"/>
      <c r="E732" s="102"/>
    </row>
    <row r="733" spans="1:5" x14ac:dyDescent="0.2">
      <c r="A733" s="93"/>
      <c r="B733" s="94">
        <f t="shared" si="12"/>
        <v>0</v>
      </c>
      <c r="C733" s="100"/>
      <c r="D733" s="96"/>
      <c r="E733" s="102"/>
    </row>
    <row r="734" spans="1:5" x14ac:dyDescent="0.2">
      <c r="A734" s="93"/>
      <c r="B734" s="94">
        <f t="shared" si="12"/>
        <v>0</v>
      </c>
      <c r="C734" s="100"/>
      <c r="D734" s="96"/>
      <c r="E734" s="102"/>
    </row>
    <row r="735" spans="1:5" x14ac:dyDescent="0.2">
      <c r="A735" s="93"/>
      <c r="B735" s="94">
        <f t="shared" si="12"/>
        <v>0</v>
      </c>
      <c r="C735" s="100"/>
      <c r="D735" s="96"/>
      <c r="E735" s="102"/>
    </row>
    <row r="736" spans="1:5" x14ac:dyDescent="0.2">
      <c r="A736" s="93"/>
      <c r="B736" s="94">
        <f t="shared" si="12"/>
        <v>0</v>
      </c>
      <c r="C736" s="100"/>
      <c r="D736" s="96"/>
      <c r="E736" s="102"/>
    </row>
    <row r="737" spans="1:5" x14ac:dyDescent="0.2">
      <c r="A737" s="93"/>
      <c r="B737" s="94">
        <f t="shared" si="12"/>
        <v>0</v>
      </c>
      <c r="C737" s="100"/>
      <c r="D737" s="96"/>
      <c r="E737" s="102"/>
    </row>
    <row r="738" spans="1:5" x14ac:dyDescent="0.2">
      <c r="A738" s="93"/>
      <c r="B738" s="94">
        <f t="shared" si="12"/>
        <v>0</v>
      </c>
      <c r="C738" s="100"/>
      <c r="D738" s="96"/>
      <c r="E738" s="102"/>
    </row>
    <row r="739" spans="1:5" x14ac:dyDescent="0.2">
      <c r="A739" s="93"/>
      <c r="B739" s="94">
        <f t="shared" si="12"/>
        <v>0</v>
      </c>
      <c r="C739" s="100"/>
      <c r="D739" s="96"/>
      <c r="E739" s="102"/>
    </row>
    <row r="740" spans="1:5" x14ac:dyDescent="0.2">
      <c r="A740" s="93"/>
      <c r="B740" s="94">
        <f t="shared" si="12"/>
        <v>0</v>
      </c>
      <c r="C740" s="100"/>
      <c r="D740" s="96"/>
      <c r="E740" s="102"/>
    </row>
    <row r="741" spans="1:5" x14ac:dyDescent="0.2">
      <c r="A741" s="93"/>
      <c r="B741" s="94">
        <f t="shared" si="12"/>
        <v>0</v>
      </c>
      <c r="C741" s="100"/>
      <c r="D741" s="96"/>
      <c r="E741" s="102"/>
    </row>
    <row r="742" spans="1:5" x14ac:dyDescent="0.2">
      <c r="A742" s="93"/>
      <c r="B742" s="94">
        <f t="shared" si="12"/>
        <v>0</v>
      </c>
      <c r="C742" s="100"/>
      <c r="D742" s="96"/>
      <c r="E742" s="102"/>
    </row>
    <row r="743" spans="1:5" x14ac:dyDescent="0.2">
      <c r="A743" s="93"/>
      <c r="B743" s="94">
        <f t="shared" si="12"/>
        <v>0</v>
      </c>
      <c r="C743" s="100"/>
      <c r="D743" s="96"/>
      <c r="E743" s="102"/>
    </row>
    <row r="744" spans="1:5" x14ac:dyDescent="0.2">
      <c r="A744" s="93"/>
      <c r="B744" s="94">
        <f t="shared" si="12"/>
        <v>0</v>
      </c>
      <c r="C744" s="100"/>
      <c r="D744" s="96"/>
      <c r="E744" s="102"/>
    </row>
    <row r="745" spans="1:5" x14ac:dyDescent="0.2">
      <c r="A745" s="93"/>
      <c r="B745" s="94">
        <f t="shared" si="12"/>
        <v>0</v>
      </c>
      <c r="C745" s="100"/>
      <c r="D745" s="96"/>
      <c r="E745" s="102"/>
    </row>
    <row r="746" spans="1:5" x14ac:dyDescent="0.2">
      <c r="A746" s="93"/>
      <c r="B746" s="94">
        <f t="shared" si="12"/>
        <v>0</v>
      </c>
      <c r="C746" s="100"/>
      <c r="D746" s="96"/>
      <c r="E746" s="102"/>
    </row>
    <row r="747" spans="1:5" x14ac:dyDescent="0.2">
      <c r="A747" s="93"/>
      <c r="B747" s="94">
        <f t="shared" si="12"/>
        <v>0</v>
      </c>
      <c r="C747" s="100"/>
      <c r="D747" s="96"/>
      <c r="E747" s="102"/>
    </row>
    <row r="748" spans="1:5" x14ac:dyDescent="0.2">
      <c r="A748" s="93"/>
      <c r="B748" s="94">
        <f t="shared" si="12"/>
        <v>0</v>
      </c>
      <c r="C748" s="100"/>
      <c r="D748" s="96"/>
      <c r="E748" s="102"/>
    </row>
    <row r="749" spans="1:5" x14ac:dyDescent="0.2">
      <c r="A749" s="93"/>
      <c r="B749" s="94">
        <f t="shared" si="12"/>
        <v>0</v>
      </c>
      <c r="C749" s="100"/>
      <c r="D749" s="96"/>
      <c r="E749" s="102"/>
    </row>
    <row r="750" spans="1:5" x14ac:dyDescent="0.2">
      <c r="A750" s="93"/>
      <c r="B750" s="94">
        <f t="shared" si="12"/>
        <v>0</v>
      </c>
      <c r="C750" s="100"/>
      <c r="D750" s="96"/>
      <c r="E750" s="102"/>
    </row>
    <row r="751" spans="1:5" x14ac:dyDescent="0.2">
      <c r="A751" s="93"/>
      <c r="B751" s="94">
        <f t="shared" si="12"/>
        <v>0</v>
      </c>
      <c r="C751" s="100"/>
      <c r="D751" s="96"/>
      <c r="E751" s="102"/>
    </row>
    <row r="752" spans="1:5" x14ac:dyDescent="0.2">
      <c r="A752" s="93"/>
      <c r="B752" s="94">
        <f t="shared" si="12"/>
        <v>0</v>
      </c>
      <c r="C752" s="100"/>
      <c r="D752" s="96"/>
      <c r="E752" s="102"/>
    </row>
    <row r="753" spans="1:5" x14ac:dyDescent="0.2">
      <c r="A753" s="93"/>
      <c r="B753" s="94">
        <f t="shared" si="12"/>
        <v>0</v>
      </c>
      <c r="C753" s="100"/>
      <c r="D753" s="96"/>
      <c r="E753" s="102"/>
    </row>
    <row r="754" spans="1:5" x14ac:dyDescent="0.2">
      <c r="A754" s="93"/>
      <c r="B754" s="94">
        <f t="shared" si="12"/>
        <v>0</v>
      </c>
      <c r="C754" s="100"/>
      <c r="D754" s="96"/>
      <c r="E754" s="102"/>
    </row>
    <row r="755" spans="1:5" x14ac:dyDescent="0.2">
      <c r="A755" s="93"/>
      <c r="B755" s="94">
        <f t="shared" si="12"/>
        <v>0</v>
      </c>
      <c r="C755" s="100"/>
      <c r="D755" s="96"/>
      <c r="E755" s="102"/>
    </row>
    <row r="756" spans="1:5" x14ac:dyDescent="0.2">
      <c r="A756" s="93"/>
      <c r="B756" s="94">
        <f t="shared" si="12"/>
        <v>0</v>
      </c>
      <c r="C756" s="100"/>
      <c r="D756" s="96"/>
      <c r="E756" s="102"/>
    </row>
    <row r="757" spans="1:5" x14ac:dyDescent="0.2">
      <c r="A757" s="93"/>
      <c r="B757" s="94">
        <f t="shared" si="12"/>
        <v>0</v>
      </c>
      <c r="C757" s="100"/>
      <c r="D757" s="96"/>
      <c r="E757" s="102"/>
    </row>
    <row r="758" spans="1:5" x14ac:dyDescent="0.2">
      <c r="A758" s="93"/>
      <c r="B758" s="94">
        <f t="shared" si="12"/>
        <v>0</v>
      </c>
      <c r="C758" s="100"/>
      <c r="D758" s="96"/>
      <c r="E758" s="102"/>
    </row>
    <row r="759" spans="1:5" x14ac:dyDescent="0.2">
      <c r="A759" s="93"/>
      <c r="B759" s="94">
        <f t="shared" si="12"/>
        <v>0</v>
      </c>
      <c r="C759" s="100"/>
      <c r="D759" s="96"/>
      <c r="E759" s="102"/>
    </row>
    <row r="760" spans="1:5" x14ac:dyDescent="0.2">
      <c r="A760" s="93"/>
      <c r="B760" s="94">
        <f t="shared" si="12"/>
        <v>0</v>
      </c>
      <c r="C760" s="100"/>
      <c r="D760" s="96"/>
      <c r="E760" s="102"/>
    </row>
    <row r="761" spans="1:5" x14ac:dyDescent="0.2">
      <c r="A761" s="93"/>
      <c r="B761" s="94">
        <f t="shared" si="12"/>
        <v>0</v>
      </c>
      <c r="C761" s="100"/>
      <c r="D761" s="96"/>
      <c r="E761" s="102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Base!$G$5:$G$34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tabSelected="1" workbookViewId="0">
      <selection activeCell="B10" sqref="B10"/>
    </sheetView>
  </sheetViews>
  <sheetFormatPr baseColWidth="10" defaultRowHeight="16.5" x14ac:dyDescent="0.3"/>
  <cols>
    <col min="1" max="1" width="7.5703125" style="108" bestFit="1" customWidth="1"/>
    <col min="2" max="2" width="35.28515625" style="108" bestFit="1" customWidth="1"/>
    <col min="3" max="3" width="61.7109375" style="108" bestFit="1" customWidth="1"/>
    <col min="4" max="16384" width="11.42578125" style="108"/>
  </cols>
  <sheetData>
    <row r="1" spans="1:3" s="103" customFormat="1" x14ac:dyDescent="0.3">
      <c r="A1" s="103" t="s">
        <v>1</v>
      </c>
      <c r="B1" s="103" t="s">
        <v>54</v>
      </c>
      <c r="C1" s="103" t="s">
        <v>55</v>
      </c>
    </row>
    <row r="2" spans="1:3" s="106" customFormat="1" ht="12.75" customHeight="1" x14ac:dyDescent="0.3">
      <c r="A2" s="104">
        <v>44957</v>
      </c>
      <c r="B2" s="105" t="s">
        <v>56</v>
      </c>
      <c r="C2" s="105" t="s">
        <v>57</v>
      </c>
    </row>
    <row r="3" spans="1:3" s="106" customFormat="1" ht="12.75" customHeight="1" x14ac:dyDescent="0.3">
      <c r="A3" s="104">
        <v>44958</v>
      </c>
      <c r="B3" s="105" t="s">
        <v>58</v>
      </c>
      <c r="C3" s="105" t="s">
        <v>67</v>
      </c>
    </row>
    <row r="4" spans="1:3" s="106" customFormat="1" ht="12.75" customHeight="1" x14ac:dyDescent="0.3">
      <c r="A4" s="104">
        <v>44959</v>
      </c>
      <c r="B4" s="105" t="s">
        <v>59</v>
      </c>
      <c r="C4" s="105" t="s">
        <v>60</v>
      </c>
    </row>
    <row r="5" spans="1:3" s="106" customFormat="1" ht="12.75" customHeight="1" x14ac:dyDescent="0.3">
      <c r="A5" s="104">
        <v>44964</v>
      </c>
      <c r="B5" s="105" t="s">
        <v>61</v>
      </c>
      <c r="C5" s="105" t="s">
        <v>64</v>
      </c>
    </row>
    <row r="6" spans="1:3" s="106" customFormat="1" ht="12.75" customHeight="1" x14ac:dyDescent="0.3">
      <c r="A6" s="104">
        <v>44966</v>
      </c>
      <c r="B6" s="105" t="s">
        <v>65</v>
      </c>
      <c r="C6" s="105" t="s">
        <v>66</v>
      </c>
    </row>
    <row r="7" spans="1:3" s="106" customFormat="1" ht="12.75" customHeight="1" x14ac:dyDescent="0.3">
      <c r="A7" s="104">
        <v>44967</v>
      </c>
      <c r="B7" s="105" t="s">
        <v>62</v>
      </c>
      <c r="C7" s="105" t="s">
        <v>63</v>
      </c>
    </row>
    <row r="8" spans="1:3" s="106" customFormat="1" ht="12.75" customHeight="1" x14ac:dyDescent="0.3">
      <c r="A8" s="104">
        <v>44979</v>
      </c>
      <c r="B8" s="105" t="s">
        <v>118</v>
      </c>
      <c r="C8" s="105" t="s">
        <v>119</v>
      </c>
    </row>
    <row r="9" spans="1:3" s="106" customFormat="1" ht="12.75" customHeight="1" x14ac:dyDescent="0.3">
      <c r="A9" s="104">
        <v>44980</v>
      </c>
      <c r="B9" s="105" t="s">
        <v>127</v>
      </c>
      <c r="C9" s="105"/>
    </row>
    <row r="10" spans="1:3" s="106" customFormat="1" ht="12.75" customHeight="1" x14ac:dyDescent="0.3">
      <c r="A10" s="104"/>
      <c r="B10" s="105"/>
      <c r="C10" s="105"/>
    </row>
    <row r="11" spans="1:3" s="106" customFormat="1" ht="12.75" customHeight="1" x14ac:dyDescent="0.3">
      <c r="A11" s="104"/>
      <c r="B11" s="105"/>
      <c r="C11" s="105"/>
    </row>
    <row r="12" spans="1:3" s="106" customFormat="1" ht="12.75" customHeight="1" x14ac:dyDescent="0.3">
      <c r="A12" s="104"/>
      <c r="B12" s="105"/>
      <c r="C12" s="105"/>
    </row>
    <row r="13" spans="1:3" s="106" customFormat="1" ht="12.75" customHeight="1" x14ac:dyDescent="0.3">
      <c r="A13" s="104"/>
      <c r="B13" s="105"/>
      <c r="C13" s="105"/>
    </row>
    <row r="14" spans="1:3" s="106" customFormat="1" ht="12.75" customHeight="1" x14ac:dyDescent="0.3">
      <c r="A14" s="104"/>
      <c r="B14" s="105"/>
      <c r="C14" s="105"/>
    </row>
    <row r="15" spans="1:3" s="106" customFormat="1" ht="12.75" customHeight="1" x14ac:dyDescent="0.3">
      <c r="A15" s="104"/>
      <c r="B15" s="105"/>
      <c r="C15" s="105"/>
    </row>
    <row r="16" spans="1:3" s="106" customFormat="1" ht="12.75" customHeight="1" x14ac:dyDescent="0.3">
      <c r="A16" s="104"/>
      <c r="B16" s="105"/>
      <c r="C16" s="105"/>
    </row>
    <row r="17" spans="1:3" s="106" customFormat="1" ht="12.75" customHeight="1" x14ac:dyDescent="0.3">
      <c r="A17" s="104"/>
      <c r="B17" s="105"/>
      <c r="C17" s="105"/>
    </row>
    <row r="18" spans="1:3" s="106" customFormat="1" ht="12.75" customHeight="1" x14ac:dyDescent="0.3">
      <c r="A18" s="104"/>
      <c r="B18" s="105"/>
      <c r="C18" s="105"/>
    </row>
    <row r="19" spans="1:3" s="106" customFormat="1" ht="12.75" customHeight="1" x14ac:dyDescent="0.3">
      <c r="A19" s="104"/>
      <c r="B19" s="105"/>
      <c r="C19" s="105"/>
    </row>
    <row r="20" spans="1:3" s="106" customFormat="1" ht="12.75" customHeight="1" x14ac:dyDescent="0.3">
      <c r="A20" s="104"/>
      <c r="B20" s="105"/>
      <c r="C20" s="105"/>
    </row>
    <row r="21" spans="1:3" s="106" customFormat="1" ht="12.75" customHeight="1" x14ac:dyDescent="0.3">
      <c r="A21" s="104"/>
      <c r="B21" s="105"/>
      <c r="C21" s="105"/>
    </row>
    <row r="22" spans="1:3" s="106" customFormat="1" ht="12.75" customHeight="1" x14ac:dyDescent="0.3">
      <c r="A22" s="105"/>
      <c r="B22" s="105"/>
      <c r="C22" s="105"/>
    </row>
    <row r="23" spans="1:3" s="106" customFormat="1" ht="12.75" customHeight="1" x14ac:dyDescent="0.3">
      <c r="A23" s="105"/>
      <c r="B23" s="105"/>
      <c r="C23" s="105"/>
    </row>
    <row r="24" spans="1:3" s="106" customFormat="1" ht="12.75" customHeight="1" x14ac:dyDescent="0.3">
      <c r="A24" s="105"/>
      <c r="B24" s="105"/>
      <c r="C24" s="105"/>
    </row>
    <row r="25" spans="1:3" s="106" customFormat="1" ht="12.75" customHeight="1" x14ac:dyDescent="0.3">
      <c r="A25" s="105"/>
      <c r="B25" s="105"/>
      <c r="C25" s="105"/>
    </row>
    <row r="26" spans="1:3" s="106" customFormat="1" ht="12.75" customHeight="1" x14ac:dyDescent="0.3">
      <c r="A26" s="105"/>
      <c r="B26" s="105"/>
      <c r="C26" s="105"/>
    </row>
    <row r="27" spans="1:3" s="106" customFormat="1" ht="12.75" customHeight="1" x14ac:dyDescent="0.3">
      <c r="A27" s="105"/>
      <c r="B27" s="105"/>
      <c r="C27" s="105"/>
    </row>
    <row r="28" spans="1:3" s="106" customFormat="1" ht="12.75" customHeight="1" x14ac:dyDescent="0.3">
      <c r="A28" s="105"/>
      <c r="B28" s="105"/>
      <c r="C28" s="105"/>
    </row>
    <row r="29" spans="1:3" s="106" customFormat="1" ht="12.75" customHeight="1" x14ac:dyDescent="0.3">
      <c r="A29" s="105"/>
      <c r="B29" s="105"/>
      <c r="C29" s="105"/>
    </row>
    <row r="30" spans="1:3" s="106" customFormat="1" ht="12.75" customHeight="1" x14ac:dyDescent="0.3">
      <c r="A30" s="105"/>
      <c r="B30" s="105"/>
      <c r="C30" s="105"/>
    </row>
    <row r="31" spans="1:3" s="106" customFormat="1" ht="12.75" customHeight="1" x14ac:dyDescent="0.3">
      <c r="A31" s="105"/>
      <c r="B31" s="105"/>
      <c r="C31" s="105"/>
    </row>
    <row r="32" spans="1:3" s="106" customFormat="1" ht="12.75" customHeight="1" x14ac:dyDescent="0.3">
      <c r="A32" s="105"/>
      <c r="B32" s="105"/>
      <c r="C32" s="105"/>
    </row>
    <row r="33" spans="1:3" s="106" customFormat="1" ht="12.75" customHeight="1" x14ac:dyDescent="0.3">
      <c r="A33" s="105"/>
      <c r="B33" s="105"/>
      <c r="C33" s="105"/>
    </row>
    <row r="34" spans="1:3" s="106" customFormat="1" ht="12.75" customHeight="1" x14ac:dyDescent="0.3">
      <c r="A34" s="105"/>
      <c r="B34" s="105"/>
      <c r="C34" s="105"/>
    </row>
    <row r="35" spans="1:3" s="106" customFormat="1" ht="12.75" customHeight="1" x14ac:dyDescent="0.3">
      <c r="A35" s="105"/>
      <c r="B35" s="105"/>
      <c r="C35" s="105"/>
    </row>
    <row r="36" spans="1:3" s="106" customFormat="1" ht="12.75" customHeight="1" x14ac:dyDescent="0.3">
      <c r="A36" s="105"/>
      <c r="B36" s="105"/>
      <c r="C36" s="105"/>
    </row>
    <row r="37" spans="1:3" s="106" customFormat="1" ht="12.75" customHeight="1" x14ac:dyDescent="0.3">
      <c r="A37" s="105"/>
      <c r="B37" s="105"/>
      <c r="C37" s="105"/>
    </row>
    <row r="38" spans="1:3" s="106" customFormat="1" ht="12.75" customHeight="1" x14ac:dyDescent="0.3">
      <c r="A38" s="105"/>
      <c r="B38" s="105"/>
      <c r="C38" s="105"/>
    </row>
    <row r="39" spans="1:3" s="106" customFormat="1" ht="12.75" customHeight="1" x14ac:dyDescent="0.3">
      <c r="A39" s="105"/>
      <c r="B39" s="105"/>
      <c r="C39" s="105"/>
    </row>
    <row r="40" spans="1:3" s="106" customFormat="1" ht="12.75" customHeight="1" x14ac:dyDescent="0.3">
      <c r="A40" s="105"/>
      <c r="B40" s="105"/>
      <c r="C40" s="105"/>
    </row>
    <row r="41" spans="1:3" s="106" customFormat="1" ht="12.75" customHeight="1" x14ac:dyDescent="0.3">
      <c r="A41" s="105"/>
      <c r="B41" s="105"/>
      <c r="C41" s="105"/>
    </row>
    <row r="42" spans="1:3" s="106" customFormat="1" ht="12.75" customHeight="1" x14ac:dyDescent="0.3">
      <c r="A42" s="105"/>
      <c r="B42" s="105"/>
      <c r="C42" s="105"/>
    </row>
    <row r="43" spans="1:3" s="106" customFormat="1" ht="12.75" customHeight="1" x14ac:dyDescent="0.3">
      <c r="A43" s="105"/>
      <c r="B43" s="105"/>
      <c r="C43" s="105"/>
    </row>
    <row r="44" spans="1:3" s="106" customFormat="1" ht="12.75" customHeight="1" x14ac:dyDescent="0.3">
      <c r="A44" s="105"/>
      <c r="B44" s="105"/>
      <c r="C44" s="105"/>
    </row>
    <row r="45" spans="1:3" s="106" customFormat="1" ht="12.75" customHeight="1" x14ac:dyDescent="0.3">
      <c r="A45" s="105"/>
      <c r="B45" s="105"/>
      <c r="C45" s="105"/>
    </row>
    <row r="46" spans="1:3" s="106" customFormat="1" ht="12.75" customHeight="1" x14ac:dyDescent="0.3">
      <c r="A46" s="105"/>
      <c r="B46" s="105"/>
      <c r="C46" s="105"/>
    </row>
    <row r="47" spans="1:3" s="106" customFormat="1" ht="12.75" customHeight="1" x14ac:dyDescent="0.3">
      <c r="A47" s="105"/>
      <c r="B47" s="105"/>
      <c r="C47" s="105"/>
    </row>
    <row r="48" spans="1:3" s="106" customFormat="1" ht="12.75" customHeight="1" x14ac:dyDescent="0.3">
      <c r="A48" s="105"/>
      <c r="B48" s="105"/>
      <c r="C48" s="105"/>
    </row>
    <row r="49" spans="1:3" s="106" customFormat="1" ht="12.75" customHeight="1" x14ac:dyDescent="0.3">
      <c r="A49" s="105"/>
      <c r="B49" s="105"/>
      <c r="C49" s="105"/>
    </row>
    <row r="50" spans="1:3" s="106" customFormat="1" ht="12.75" customHeight="1" x14ac:dyDescent="0.3">
      <c r="A50" s="105"/>
      <c r="B50" s="105"/>
      <c r="C50" s="105"/>
    </row>
    <row r="51" spans="1:3" s="106" customFormat="1" ht="12.75" customHeight="1" x14ac:dyDescent="0.3">
      <c r="A51" s="105"/>
      <c r="B51" s="105"/>
      <c r="C51" s="105"/>
    </row>
    <row r="52" spans="1:3" s="106" customFormat="1" ht="12.75" customHeight="1" x14ac:dyDescent="0.3">
      <c r="A52" s="105"/>
      <c r="B52" s="105"/>
      <c r="C52" s="105"/>
    </row>
    <row r="53" spans="1:3" s="106" customFormat="1" ht="12.75" customHeight="1" x14ac:dyDescent="0.3">
      <c r="A53" s="105"/>
      <c r="B53" s="105"/>
      <c r="C53" s="105"/>
    </row>
    <row r="54" spans="1:3" s="106" customFormat="1" ht="12.75" customHeight="1" x14ac:dyDescent="0.3">
      <c r="A54" s="105"/>
      <c r="B54" s="105"/>
      <c r="C54" s="105"/>
    </row>
    <row r="55" spans="1:3" s="106" customFormat="1" ht="12.75" customHeight="1" x14ac:dyDescent="0.3">
      <c r="A55" s="105"/>
      <c r="B55" s="105"/>
      <c r="C55" s="105"/>
    </row>
    <row r="56" spans="1:3" s="106" customFormat="1" ht="12.75" customHeight="1" x14ac:dyDescent="0.3">
      <c r="A56" s="105"/>
      <c r="B56" s="105"/>
      <c r="C56" s="105"/>
    </row>
    <row r="57" spans="1:3" s="106" customFormat="1" ht="12.75" customHeight="1" x14ac:dyDescent="0.3">
      <c r="A57" s="105"/>
      <c r="B57" s="105"/>
      <c r="C57" s="105"/>
    </row>
    <row r="58" spans="1:3" s="106" customFormat="1" ht="12.75" customHeight="1" x14ac:dyDescent="0.3">
      <c r="A58" s="105"/>
      <c r="B58" s="105"/>
      <c r="C58" s="105"/>
    </row>
    <row r="59" spans="1:3" s="106" customFormat="1" ht="12.75" customHeight="1" x14ac:dyDescent="0.3">
      <c r="A59" s="105"/>
      <c r="B59" s="105"/>
      <c r="C59" s="105"/>
    </row>
    <row r="60" spans="1:3" s="106" customFormat="1" ht="12.75" customHeight="1" x14ac:dyDescent="0.3">
      <c r="A60" s="105"/>
      <c r="B60" s="105"/>
      <c r="C60" s="105"/>
    </row>
    <row r="61" spans="1:3" s="106" customFormat="1" ht="12.75" customHeight="1" x14ac:dyDescent="0.3">
      <c r="A61" s="105"/>
      <c r="B61" s="105"/>
      <c r="C61" s="105"/>
    </row>
    <row r="62" spans="1:3" s="106" customFormat="1" ht="12.75" customHeight="1" x14ac:dyDescent="0.3">
      <c r="A62" s="105"/>
      <c r="B62" s="105"/>
      <c r="C62" s="105"/>
    </row>
    <row r="63" spans="1:3" s="106" customFormat="1" ht="12.75" customHeight="1" x14ac:dyDescent="0.3">
      <c r="A63" s="105"/>
      <c r="B63" s="105"/>
      <c r="C63" s="105"/>
    </row>
    <row r="64" spans="1:3" s="106" customFormat="1" ht="12.75" customHeight="1" x14ac:dyDescent="0.3">
      <c r="A64" s="105"/>
      <c r="B64" s="105"/>
      <c r="C64" s="105"/>
    </row>
    <row r="65" spans="1:3" s="106" customFormat="1" ht="12.75" customHeight="1" x14ac:dyDescent="0.3">
      <c r="A65" s="105"/>
      <c r="B65" s="105"/>
      <c r="C65" s="105"/>
    </row>
    <row r="66" spans="1:3" s="106" customFormat="1" ht="12.75" customHeight="1" x14ac:dyDescent="0.3">
      <c r="A66" s="105"/>
      <c r="B66" s="105"/>
      <c r="C66" s="105"/>
    </row>
    <row r="67" spans="1:3" s="106" customFormat="1" ht="12.75" customHeight="1" x14ac:dyDescent="0.3">
      <c r="A67" s="105"/>
      <c r="B67" s="105"/>
      <c r="C67" s="105"/>
    </row>
    <row r="68" spans="1:3" s="106" customFormat="1" ht="12.75" customHeight="1" x14ac:dyDescent="0.3">
      <c r="A68" s="105"/>
      <c r="B68" s="105"/>
      <c r="C68" s="105"/>
    </row>
    <row r="69" spans="1:3" s="106" customFormat="1" ht="12.75" customHeight="1" x14ac:dyDescent="0.3">
      <c r="A69" s="105"/>
      <c r="B69" s="105"/>
      <c r="C69" s="105"/>
    </row>
    <row r="70" spans="1:3" s="106" customFormat="1" ht="12.75" customHeight="1" x14ac:dyDescent="0.3">
      <c r="A70" s="105"/>
      <c r="B70" s="105"/>
      <c r="C70" s="105"/>
    </row>
    <row r="71" spans="1:3" s="106" customFormat="1" ht="12.75" customHeight="1" x14ac:dyDescent="0.3">
      <c r="A71" s="105"/>
      <c r="B71" s="105"/>
      <c r="C71" s="105"/>
    </row>
    <row r="72" spans="1:3" s="106" customFormat="1" ht="12.75" customHeight="1" x14ac:dyDescent="0.3">
      <c r="A72" s="105"/>
      <c r="B72" s="105"/>
      <c r="C72" s="105"/>
    </row>
    <row r="73" spans="1:3" s="106" customFormat="1" ht="12.75" customHeight="1" x14ac:dyDescent="0.3">
      <c r="A73" s="105"/>
      <c r="B73" s="105"/>
      <c r="C73" s="105"/>
    </row>
    <row r="74" spans="1:3" s="106" customFormat="1" ht="12.75" customHeight="1" x14ac:dyDescent="0.3">
      <c r="A74" s="105"/>
      <c r="B74" s="105"/>
      <c r="C74" s="105"/>
    </row>
    <row r="75" spans="1:3" s="106" customFormat="1" ht="12.75" customHeight="1" x14ac:dyDescent="0.3">
      <c r="A75" s="105"/>
      <c r="B75" s="105"/>
      <c r="C75" s="105"/>
    </row>
    <row r="76" spans="1:3" s="106" customFormat="1" ht="12.75" customHeight="1" x14ac:dyDescent="0.3">
      <c r="A76" s="105"/>
      <c r="B76" s="105"/>
      <c r="C76" s="105"/>
    </row>
    <row r="77" spans="1:3" s="106" customFormat="1" ht="12.75" customHeight="1" x14ac:dyDescent="0.3">
      <c r="A77" s="105"/>
      <c r="B77" s="105"/>
      <c r="C77" s="105"/>
    </row>
    <row r="78" spans="1:3" s="106" customFormat="1" ht="12.75" customHeight="1" x14ac:dyDescent="0.3">
      <c r="A78" s="105"/>
      <c r="B78" s="105"/>
      <c r="C78" s="105"/>
    </row>
    <row r="79" spans="1:3" s="106" customFormat="1" ht="12.75" customHeight="1" x14ac:dyDescent="0.3">
      <c r="A79" s="105"/>
      <c r="B79" s="105"/>
      <c r="C79" s="105"/>
    </row>
    <row r="80" spans="1:3" s="106" customFormat="1" ht="12.75" customHeight="1" x14ac:dyDescent="0.3">
      <c r="A80" s="105"/>
      <c r="B80" s="105"/>
      <c r="C80" s="105"/>
    </row>
    <row r="81" spans="1:3" s="106" customFormat="1" ht="12.75" customHeight="1" x14ac:dyDescent="0.3">
      <c r="A81" s="105"/>
      <c r="B81" s="105"/>
      <c r="C81" s="105"/>
    </row>
    <row r="82" spans="1:3" s="106" customFormat="1" ht="12.75" customHeight="1" x14ac:dyDescent="0.3">
      <c r="A82" s="105"/>
      <c r="B82" s="105"/>
      <c r="C82" s="105"/>
    </row>
    <row r="83" spans="1:3" s="106" customFormat="1" ht="12.75" customHeight="1" x14ac:dyDescent="0.3">
      <c r="A83" s="105"/>
      <c r="B83" s="105"/>
      <c r="C83" s="105"/>
    </row>
    <row r="84" spans="1:3" s="106" customFormat="1" ht="12.75" customHeight="1" x14ac:dyDescent="0.3">
      <c r="A84" s="105"/>
      <c r="B84" s="105"/>
      <c r="C84" s="105"/>
    </row>
    <row r="85" spans="1:3" s="106" customFormat="1" ht="12.75" customHeight="1" x14ac:dyDescent="0.3">
      <c r="A85" s="105"/>
      <c r="B85" s="105"/>
      <c r="C85" s="105"/>
    </row>
    <row r="86" spans="1:3" s="106" customFormat="1" ht="12.75" customHeight="1" x14ac:dyDescent="0.3">
      <c r="A86" s="105"/>
      <c r="B86" s="105"/>
      <c r="C86" s="105"/>
    </row>
    <row r="87" spans="1:3" s="106" customFormat="1" ht="12.75" customHeight="1" x14ac:dyDescent="0.3">
      <c r="A87" s="105"/>
      <c r="B87" s="105"/>
      <c r="C87" s="105"/>
    </row>
    <row r="88" spans="1:3" s="106" customFormat="1" ht="12.75" customHeight="1" x14ac:dyDescent="0.3">
      <c r="A88" s="105"/>
      <c r="B88" s="105"/>
      <c r="C88" s="105"/>
    </row>
    <row r="89" spans="1:3" s="106" customFormat="1" ht="12.75" customHeight="1" x14ac:dyDescent="0.3">
      <c r="A89" s="105"/>
      <c r="B89" s="105"/>
      <c r="C89" s="105"/>
    </row>
    <row r="90" spans="1:3" s="106" customFormat="1" ht="12.75" customHeight="1" x14ac:dyDescent="0.3">
      <c r="A90" s="105"/>
      <c r="B90" s="105"/>
      <c r="C90" s="105"/>
    </row>
    <row r="91" spans="1:3" s="106" customFormat="1" ht="12.75" customHeight="1" x14ac:dyDescent="0.3">
      <c r="A91" s="105"/>
      <c r="B91" s="105"/>
      <c r="C91" s="105"/>
    </row>
    <row r="92" spans="1:3" s="106" customFormat="1" ht="12.75" customHeight="1" x14ac:dyDescent="0.3">
      <c r="A92" s="105"/>
      <c r="B92" s="105"/>
      <c r="C92" s="105"/>
    </row>
    <row r="93" spans="1:3" s="106" customFormat="1" ht="12.75" customHeight="1" x14ac:dyDescent="0.3">
      <c r="A93" s="105"/>
      <c r="B93" s="105"/>
      <c r="C93" s="105"/>
    </row>
    <row r="94" spans="1:3" s="106" customFormat="1" ht="12.75" customHeight="1" x14ac:dyDescent="0.3">
      <c r="A94" s="105"/>
      <c r="B94" s="105"/>
      <c r="C94" s="105"/>
    </row>
    <row r="95" spans="1:3" s="106" customFormat="1" ht="12.75" customHeight="1" x14ac:dyDescent="0.3">
      <c r="A95" s="105"/>
      <c r="B95" s="105"/>
      <c r="C95" s="105"/>
    </row>
    <row r="96" spans="1:3" s="106" customFormat="1" ht="12.75" customHeight="1" x14ac:dyDescent="0.3">
      <c r="A96" s="105"/>
      <c r="B96" s="105"/>
      <c r="C96" s="105"/>
    </row>
    <row r="97" spans="1:3" s="106" customFormat="1" ht="12.75" customHeight="1" x14ac:dyDescent="0.3">
      <c r="A97" s="105"/>
      <c r="B97" s="105"/>
      <c r="C97" s="105"/>
    </row>
    <row r="98" spans="1:3" s="106" customFormat="1" ht="12.75" customHeight="1" x14ac:dyDescent="0.3">
      <c r="A98" s="105"/>
      <c r="B98" s="105"/>
      <c r="C98" s="105"/>
    </row>
    <row r="99" spans="1:3" s="106" customFormat="1" ht="12.75" customHeight="1" x14ac:dyDescent="0.3">
      <c r="A99" s="105"/>
      <c r="B99" s="105"/>
      <c r="C99" s="105"/>
    </row>
    <row r="100" spans="1:3" s="106" customFormat="1" ht="12.75" customHeight="1" x14ac:dyDescent="0.3">
      <c r="A100" s="105"/>
      <c r="B100" s="105"/>
      <c r="C100" s="105"/>
    </row>
    <row r="101" spans="1:3" s="106" customFormat="1" ht="12.75" customHeight="1" x14ac:dyDescent="0.3">
      <c r="A101" s="105"/>
      <c r="B101" s="105"/>
      <c r="C101" s="105"/>
    </row>
    <row r="102" spans="1:3" s="106" customFormat="1" ht="12.75" customHeight="1" x14ac:dyDescent="0.3">
      <c r="A102" s="105"/>
      <c r="B102" s="105"/>
      <c r="C102" s="105"/>
    </row>
    <row r="103" spans="1:3" s="106" customFormat="1" ht="12.75" customHeight="1" x14ac:dyDescent="0.3">
      <c r="A103" s="105"/>
      <c r="B103" s="105"/>
      <c r="C103" s="105"/>
    </row>
    <row r="104" spans="1:3" s="106" customFormat="1" ht="12.75" customHeight="1" x14ac:dyDescent="0.3">
      <c r="A104" s="105"/>
      <c r="B104" s="105"/>
      <c r="C104" s="105"/>
    </row>
    <row r="105" spans="1:3" s="106" customFormat="1" ht="12.75" customHeight="1" x14ac:dyDescent="0.3">
      <c r="A105" s="105"/>
      <c r="B105" s="105"/>
      <c r="C105" s="105"/>
    </row>
    <row r="106" spans="1:3" s="106" customFormat="1" ht="12.75" customHeight="1" x14ac:dyDescent="0.3">
      <c r="A106" s="105"/>
      <c r="B106" s="105"/>
      <c r="C106" s="105"/>
    </row>
    <row r="107" spans="1:3" s="106" customFormat="1" ht="12.75" customHeight="1" x14ac:dyDescent="0.3">
      <c r="A107" s="105"/>
      <c r="B107" s="105"/>
      <c r="C107" s="105"/>
    </row>
    <row r="108" spans="1:3" s="106" customFormat="1" ht="12.75" customHeight="1" x14ac:dyDescent="0.3">
      <c r="A108" s="105"/>
      <c r="B108" s="105"/>
      <c r="C108" s="105"/>
    </row>
    <row r="109" spans="1:3" s="106" customFormat="1" ht="12.75" customHeight="1" x14ac:dyDescent="0.3">
      <c r="A109" s="105"/>
      <c r="B109" s="105"/>
      <c r="C109" s="105"/>
    </row>
    <row r="110" spans="1:3" s="106" customFormat="1" ht="12.75" customHeight="1" x14ac:dyDescent="0.3">
      <c r="A110" s="105"/>
      <c r="B110" s="105"/>
      <c r="C110" s="105"/>
    </row>
    <row r="111" spans="1:3" s="106" customFormat="1" ht="12.75" customHeight="1" x14ac:dyDescent="0.3">
      <c r="A111" s="105"/>
      <c r="B111" s="105"/>
      <c r="C111" s="105"/>
    </row>
    <row r="112" spans="1:3" s="106" customFormat="1" ht="12.75" customHeight="1" x14ac:dyDescent="0.3">
      <c r="A112" s="105"/>
      <c r="B112" s="105"/>
      <c r="C112" s="105"/>
    </row>
    <row r="113" spans="1:3" s="106" customFormat="1" ht="12.75" customHeight="1" x14ac:dyDescent="0.3">
      <c r="A113" s="105"/>
      <c r="B113" s="105"/>
      <c r="C113" s="105"/>
    </row>
    <row r="114" spans="1:3" s="106" customFormat="1" ht="12.75" customHeight="1" x14ac:dyDescent="0.3">
      <c r="A114" s="105"/>
      <c r="B114" s="105"/>
      <c r="C114" s="105"/>
    </row>
    <row r="115" spans="1:3" s="106" customFormat="1" ht="12.75" customHeight="1" x14ac:dyDescent="0.3">
      <c r="A115" s="105"/>
      <c r="B115" s="105"/>
      <c r="C115" s="105"/>
    </row>
    <row r="116" spans="1:3" s="106" customFormat="1" ht="12.75" customHeight="1" x14ac:dyDescent="0.3">
      <c r="A116" s="105"/>
      <c r="B116" s="105"/>
      <c r="C116" s="105"/>
    </row>
    <row r="117" spans="1:3" s="106" customFormat="1" ht="12.75" customHeight="1" x14ac:dyDescent="0.3">
      <c r="A117" s="105"/>
      <c r="B117" s="105"/>
      <c r="C117" s="105"/>
    </row>
    <row r="118" spans="1:3" s="106" customFormat="1" ht="12.75" customHeight="1" x14ac:dyDescent="0.3">
      <c r="A118" s="105"/>
      <c r="B118" s="105"/>
      <c r="C118" s="105"/>
    </row>
    <row r="119" spans="1:3" s="106" customFormat="1" ht="12.75" customHeight="1" x14ac:dyDescent="0.3">
      <c r="A119" s="105"/>
      <c r="B119" s="105"/>
      <c r="C119" s="105"/>
    </row>
    <row r="120" spans="1:3" s="106" customFormat="1" ht="12.75" customHeight="1" x14ac:dyDescent="0.3">
      <c r="A120" s="105"/>
      <c r="B120" s="105"/>
      <c r="C120" s="105"/>
    </row>
    <row r="121" spans="1:3" s="106" customFormat="1" ht="12.75" customHeight="1" x14ac:dyDescent="0.3">
      <c r="A121" s="105"/>
      <c r="B121" s="105"/>
      <c r="C121" s="105"/>
    </row>
    <row r="122" spans="1:3" s="106" customFormat="1" ht="12.75" customHeight="1" x14ac:dyDescent="0.3">
      <c r="A122" s="105"/>
      <c r="B122" s="105"/>
      <c r="C122" s="105"/>
    </row>
    <row r="123" spans="1:3" s="106" customFormat="1" ht="12.75" customHeight="1" x14ac:dyDescent="0.3">
      <c r="A123" s="105"/>
      <c r="B123" s="105"/>
      <c r="C123" s="105"/>
    </row>
    <row r="124" spans="1:3" s="106" customFormat="1" ht="12.75" customHeight="1" x14ac:dyDescent="0.3">
      <c r="A124" s="105"/>
      <c r="B124" s="105"/>
      <c r="C124" s="105"/>
    </row>
    <row r="125" spans="1:3" s="106" customFormat="1" ht="12.75" customHeight="1" x14ac:dyDescent="0.3">
      <c r="A125" s="105"/>
      <c r="B125" s="105"/>
      <c r="C125" s="105"/>
    </row>
    <row r="126" spans="1:3" s="106" customFormat="1" ht="12.75" customHeight="1" x14ac:dyDescent="0.3">
      <c r="A126" s="105"/>
      <c r="B126" s="105"/>
      <c r="C126" s="105"/>
    </row>
    <row r="127" spans="1:3" s="106" customFormat="1" ht="12.75" customHeight="1" x14ac:dyDescent="0.3">
      <c r="A127" s="105"/>
      <c r="B127" s="105"/>
      <c r="C127" s="105"/>
    </row>
    <row r="128" spans="1:3" s="106" customFormat="1" ht="12.75" customHeight="1" x14ac:dyDescent="0.3">
      <c r="A128" s="105"/>
      <c r="B128" s="105"/>
      <c r="C128" s="105"/>
    </row>
    <row r="129" spans="1:3" s="106" customFormat="1" ht="12.75" customHeight="1" x14ac:dyDescent="0.3">
      <c r="A129" s="105"/>
      <c r="B129" s="105"/>
      <c r="C129" s="105"/>
    </row>
    <row r="130" spans="1:3" s="106" customFormat="1" ht="12.75" customHeight="1" x14ac:dyDescent="0.3">
      <c r="A130" s="105"/>
      <c r="B130" s="105"/>
      <c r="C130" s="105"/>
    </row>
    <row r="131" spans="1:3" s="106" customFormat="1" ht="12.75" customHeight="1" x14ac:dyDescent="0.3">
      <c r="A131" s="105"/>
      <c r="B131" s="105"/>
      <c r="C131" s="105"/>
    </row>
    <row r="132" spans="1:3" s="106" customFormat="1" ht="12.75" customHeight="1" x14ac:dyDescent="0.3">
      <c r="A132" s="105"/>
      <c r="B132" s="105"/>
      <c r="C132" s="105"/>
    </row>
    <row r="133" spans="1:3" s="106" customFormat="1" ht="12.75" customHeight="1" x14ac:dyDescent="0.3">
      <c r="A133" s="105"/>
      <c r="B133" s="105"/>
      <c r="C133" s="105"/>
    </row>
    <row r="134" spans="1:3" s="106" customFormat="1" ht="12.75" customHeight="1" x14ac:dyDescent="0.3">
      <c r="A134" s="105"/>
      <c r="B134" s="105"/>
      <c r="C134" s="105"/>
    </row>
    <row r="135" spans="1:3" s="106" customFormat="1" ht="12.75" customHeight="1" x14ac:dyDescent="0.3">
      <c r="A135" s="105"/>
      <c r="B135" s="105"/>
      <c r="C135" s="105"/>
    </row>
    <row r="136" spans="1:3" s="106" customFormat="1" ht="12.75" customHeight="1" x14ac:dyDescent="0.3">
      <c r="A136" s="105"/>
      <c r="B136" s="105"/>
      <c r="C136" s="105"/>
    </row>
    <row r="137" spans="1:3" s="106" customFormat="1" ht="12.75" customHeight="1" x14ac:dyDescent="0.3">
      <c r="A137" s="105"/>
      <c r="B137" s="105"/>
      <c r="C137" s="105"/>
    </row>
    <row r="138" spans="1:3" s="106" customFormat="1" ht="12.75" customHeight="1" x14ac:dyDescent="0.3">
      <c r="A138" s="105"/>
      <c r="B138" s="105"/>
      <c r="C138" s="105"/>
    </row>
    <row r="139" spans="1:3" s="106" customFormat="1" ht="12.75" customHeight="1" x14ac:dyDescent="0.3">
      <c r="A139" s="105"/>
      <c r="B139" s="105"/>
      <c r="C139" s="105"/>
    </row>
    <row r="140" spans="1:3" s="106" customFormat="1" ht="12.75" customHeight="1" x14ac:dyDescent="0.3">
      <c r="A140" s="105"/>
      <c r="B140" s="105"/>
      <c r="C140" s="105"/>
    </row>
    <row r="141" spans="1:3" s="106" customFormat="1" ht="12.75" customHeight="1" x14ac:dyDescent="0.3">
      <c r="A141" s="105"/>
      <c r="B141" s="105"/>
      <c r="C141" s="105"/>
    </row>
    <row r="142" spans="1:3" s="106" customFormat="1" ht="12.75" customHeight="1" x14ac:dyDescent="0.3">
      <c r="A142" s="105"/>
      <c r="B142" s="105"/>
      <c r="C142" s="105"/>
    </row>
    <row r="143" spans="1:3" s="106" customFormat="1" ht="12.75" customHeight="1" x14ac:dyDescent="0.3">
      <c r="A143" s="105"/>
      <c r="B143" s="105"/>
      <c r="C143" s="105"/>
    </row>
    <row r="144" spans="1:3" s="106" customFormat="1" ht="12.75" customHeight="1" x14ac:dyDescent="0.3">
      <c r="A144" s="105"/>
      <c r="B144" s="105"/>
      <c r="C144" s="105"/>
    </row>
    <row r="145" spans="1:3" s="106" customFormat="1" ht="12.75" customHeight="1" x14ac:dyDescent="0.3">
      <c r="A145" s="105"/>
      <c r="B145" s="105"/>
      <c r="C145" s="105"/>
    </row>
    <row r="146" spans="1:3" s="106" customFormat="1" ht="12.75" customHeight="1" x14ac:dyDescent="0.3">
      <c r="A146" s="105"/>
      <c r="B146" s="105"/>
      <c r="C146" s="105"/>
    </row>
    <row r="147" spans="1:3" s="106" customFormat="1" ht="12.75" customHeight="1" x14ac:dyDescent="0.3">
      <c r="A147" s="105"/>
      <c r="B147" s="105"/>
      <c r="C147" s="105"/>
    </row>
    <row r="148" spans="1:3" s="106" customFormat="1" ht="12.75" customHeight="1" x14ac:dyDescent="0.3">
      <c r="A148" s="105"/>
      <c r="B148" s="105"/>
      <c r="C148" s="105"/>
    </row>
    <row r="149" spans="1:3" s="106" customFormat="1" ht="12.75" customHeight="1" x14ac:dyDescent="0.3">
      <c r="A149" s="105"/>
      <c r="B149" s="105"/>
      <c r="C149" s="105"/>
    </row>
    <row r="150" spans="1:3" s="106" customFormat="1" ht="12.75" customHeight="1" x14ac:dyDescent="0.3">
      <c r="A150" s="105"/>
      <c r="B150" s="105"/>
      <c r="C150" s="105"/>
    </row>
    <row r="151" spans="1:3" s="106" customFormat="1" ht="12.75" customHeight="1" x14ac:dyDescent="0.3">
      <c r="A151" s="105"/>
      <c r="B151" s="105"/>
      <c r="C151" s="105"/>
    </row>
    <row r="152" spans="1:3" s="106" customFormat="1" ht="12.75" customHeight="1" x14ac:dyDescent="0.3">
      <c r="A152" s="105"/>
      <c r="B152" s="105"/>
      <c r="C152" s="105"/>
    </row>
    <row r="153" spans="1:3" s="106" customFormat="1" ht="12.75" customHeight="1" x14ac:dyDescent="0.3">
      <c r="A153" s="105"/>
      <c r="B153" s="105"/>
      <c r="C153" s="105"/>
    </row>
    <row r="154" spans="1:3" s="106" customFormat="1" ht="12.75" customHeight="1" x14ac:dyDescent="0.3">
      <c r="A154" s="105"/>
      <c r="B154" s="105"/>
      <c r="C154" s="105"/>
    </row>
    <row r="155" spans="1:3" s="106" customFormat="1" ht="12.75" customHeight="1" x14ac:dyDescent="0.3">
      <c r="A155" s="105"/>
      <c r="B155" s="105"/>
      <c r="C155" s="105"/>
    </row>
    <row r="156" spans="1:3" s="106" customFormat="1" ht="12.75" customHeight="1" x14ac:dyDescent="0.3">
      <c r="A156" s="105"/>
      <c r="B156" s="105"/>
      <c r="C156" s="105"/>
    </row>
    <row r="157" spans="1:3" s="106" customFormat="1" ht="12.75" customHeight="1" x14ac:dyDescent="0.3">
      <c r="A157" s="105"/>
      <c r="B157" s="105"/>
      <c r="C157" s="105"/>
    </row>
    <row r="158" spans="1:3" s="106" customFormat="1" ht="12.75" customHeight="1" x14ac:dyDescent="0.3">
      <c r="A158" s="105"/>
      <c r="B158" s="105"/>
      <c r="C158" s="105"/>
    </row>
    <row r="159" spans="1:3" s="106" customFormat="1" ht="12.75" customHeight="1" x14ac:dyDescent="0.3">
      <c r="A159" s="105"/>
      <c r="B159" s="105"/>
      <c r="C159" s="105"/>
    </row>
    <row r="160" spans="1:3" s="106" customFormat="1" ht="12.75" customHeight="1" x14ac:dyDescent="0.3">
      <c r="A160" s="105"/>
      <c r="B160" s="105"/>
      <c r="C160" s="105"/>
    </row>
    <row r="161" spans="1:3" s="106" customFormat="1" ht="12.75" customHeight="1" x14ac:dyDescent="0.3">
      <c r="A161" s="105"/>
      <c r="B161" s="105"/>
      <c r="C161" s="105"/>
    </row>
    <row r="162" spans="1:3" s="106" customFormat="1" ht="12.75" customHeight="1" x14ac:dyDescent="0.3">
      <c r="A162" s="105"/>
      <c r="B162" s="105"/>
      <c r="C162" s="105"/>
    </row>
    <row r="163" spans="1:3" s="106" customFormat="1" ht="12.75" customHeight="1" x14ac:dyDescent="0.3">
      <c r="A163" s="105"/>
      <c r="B163" s="105"/>
      <c r="C163" s="105"/>
    </row>
    <row r="164" spans="1:3" s="106" customFormat="1" ht="12.75" customHeight="1" x14ac:dyDescent="0.3">
      <c r="A164" s="105"/>
      <c r="B164" s="105"/>
      <c r="C164" s="105"/>
    </row>
    <row r="165" spans="1:3" s="106" customFormat="1" ht="12.75" customHeight="1" x14ac:dyDescent="0.3">
      <c r="A165" s="105"/>
      <c r="B165" s="105"/>
      <c r="C165" s="105"/>
    </row>
    <row r="166" spans="1:3" s="106" customFormat="1" ht="12.75" customHeight="1" x14ac:dyDescent="0.3">
      <c r="A166" s="105"/>
      <c r="B166" s="105"/>
      <c r="C166" s="105"/>
    </row>
    <row r="167" spans="1:3" s="106" customFormat="1" ht="12.75" customHeight="1" x14ac:dyDescent="0.3">
      <c r="A167" s="105"/>
      <c r="B167" s="105"/>
      <c r="C167" s="105"/>
    </row>
    <row r="168" spans="1:3" s="106" customFormat="1" ht="12.75" customHeight="1" x14ac:dyDescent="0.3">
      <c r="A168" s="105"/>
      <c r="B168" s="105"/>
      <c r="C168" s="105"/>
    </row>
    <row r="169" spans="1:3" s="106" customFormat="1" ht="12.75" customHeight="1" x14ac:dyDescent="0.3">
      <c r="A169" s="105"/>
      <c r="B169" s="105"/>
      <c r="C169" s="105"/>
    </row>
    <row r="170" spans="1:3" s="106" customFormat="1" ht="12.75" customHeight="1" x14ac:dyDescent="0.3">
      <c r="A170" s="105"/>
      <c r="B170" s="105"/>
      <c r="C170" s="105"/>
    </row>
    <row r="171" spans="1:3" s="106" customFormat="1" ht="12.75" customHeight="1" x14ac:dyDescent="0.3">
      <c r="A171" s="105"/>
      <c r="B171" s="105"/>
      <c r="C171" s="105"/>
    </row>
    <row r="172" spans="1:3" s="106" customFormat="1" ht="12.75" customHeight="1" x14ac:dyDescent="0.3">
      <c r="A172" s="105"/>
      <c r="B172" s="105"/>
      <c r="C172" s="105"/>
    </row>
    <row r="173" spans="1:3" s="106" customFormat="1" ht="12.75" customHeight="1" x14ac:dyDescent="0.3">
      <c r="A173" s="105"/>
      <c r="B173" s="105"/>
      <c r="C173" s="105"/>
    </row>
    <row r="174" spans="1:3" s="106" customFormat="1" ht="12.75" customHeight="1" x14ac:dyDescent="0.3">
      <c r="A174" s="105"/>
      <c r="B174" s="105"/>
      <c r="C174" s="105"/>
    </row>
    <row r="175" spans="1:3" s="106" customFormat="1" ht="12.75" customHeight="1" x14ac:dyDescent="0.3">
      <c r="A175" s="105"/>
      <c r="B175" s="105"/>
      <c r="C175" s="105"/>
    </row>
    <row r="176" spans="1:3" s="106" customFormat="1" ht="12.75" customHeight="1" x14ac:dyDescent="0.3">
      <c r="A176" s="105"/>
      <c r="B176" s="105"/>
      <c r="C176" s="105"/>
    </row>
    <row r="177" spans="1:3" s="106" customFormat="1" ht="12.75" customHeight="1" x14ac:dyDescent="0.3">
      <c r="A177" s="105"/>
      <c r="B177" s="105"/>
      <c r="C177" s="105"/>
    </row>
    <row r="178" spans="1:3" s="106" customFormat="1" ht="12.75" customHeight="1" x14ac:dyDescent="0.3">
      <c r="A178" s="105"/>
      <c r="B178" s="105"/>
      <c r="C178" s="105"/>
    </row>
    <row r="179" spans="1:3" s="106" customFormat="1" ht="12.75" customHeight="1" x14ac:dyDescent="0.3">
      <c r="A179" s="105"/>
      <c r="B179" s="105"/>
      <c r="C179" s="105"/>
    </row>
    <row r="180" spans="1:3" s="106" customFormat="1" ht="12.75" customHeight="1" x14ac:dyDescent="0.3">
      <c r="A180" s="105"/>
      <c r="B180" s="105"/>
      <c r="C180" s="105"/>
    </row>
    <row r="181" spans="1:3" s="106" customFormat="1" ht="12.75" customHeight="1" x14ac:dyDescent="0.3">
      <c r="A181" s="105"/>
      <c r="B181" s="105"/>
      <c r="C181" s="105"/>
    </row>
    <row r="182" spans="1:3" s="106" customFormat="1" ht="12.75" customHeight="1" x14ac:dyDescent="0.3">
      <c r="A182" s="105"/>
      <c r="B182" s="105"/>
      <c r="C182" s="105"/>
    </row>
    <row r="183" spans="1:3" s="106" customFormat="1" ht="12.75" customHeight="1" x14ac:dyDescent="0.3">
      <c r="A183" s="105"/>
      <c r="B183" s="105"/>
      <c r="C183" s="105"/>
    </row>
    <row r="184" spans="1:3" s="106" customFormat="1" ht="12.75" customHeight="1" x14ac:dyDescent="0.3">
      <c r="A184" s="105"/>
      <c r="B184" s="105"/>
      <c r="C184" s="105"/>
    </row>
    <row r="185" spans="1:3" s="106" customFormat="1" ht="12.75" customHeight="1" x14ac:dyDescent="0.3">
      <c r="A185" s="105"/>
      <c r="B185" s="105"/>
      <c r="C185" s="105"/>
    </row>
    <row r="186" spans="1:3" s="106" customFormat="1" ht="12.75" customHeight="1" x14ac:dyDescent="0.3">
      <c r="A186" s="105"/>
      <c r="B186" s="105"/>
      <c r="C186" s="105"/>
    </row>
    <row r="187" spans="1:3" s="106" customFormat="1" ht="12.75" customHeight="1" x14ac:dyDescent="0.3">
      <c r="A187" s="105"/>
      <c r="B187" s="105"/>
      <c r="C187" s="105"/>
    </row>
    <row r="188" spans="1:3" s="106" customFormat="1" ht="12.75" customHeight="1" x14ac:dyDescent="0.3">
      <c r="A188" s="105"/>
      <c r="B188" s="105"/>
      <c r="C188" s="105"/>
    </row>
    <row r="189" spans="1:3" s="106" customFormat="1" ht="12.75" customHeight="1" x14ac:dyDescent="0.3">
      <c r="A189" s="105"/>
      <c r="B189" s="105"/>
      <c r="C189" s="105"/>
    </row>
    <row r="190" spans="1:3" s="106" customFormat="1" ht="12.75" customHeight="1" x14ac:dyDescent="0.3">
      <c r="A190" s="105"/>
      <c r="B190" s="105"/>
      <c r="C190" s="105"/>
    </row>
    <row r="191" spans="1:3" s="106" customFormat="1" ht="12.75" customHeight="1" x14ac:dyDescent="0.3">
      <c r="A191" s="105"/>
      <c r="B191" s="105"/>
      <c r="C191" s="105"/>
    </row>
    <row r="192" spans="1:3" s="106" customFormat="1" ht="12.75" customHeight="1" x14ac:dyDescent="0.3">
      <c r="A192" s="105"/>
      <c r="B192" s="105"/>
      <c r="C192" s="105"/>
    </row>
    <row r="193" spans="1:3" s="106" customFormat="1" ht="12.75" customHeight="1" x14ac:dyDescent="0.3">
      <c r="A193" s="105"/>
      <c r="B193" s="105"/>
      <c r="C193" s="105"/>
    </row>
    <row r="194" spans="1:3" s="106" customFormat="1" ht="12.75" customHeight="1" x14ac:dyDescent="0.3">
      <c r="A194" s="105"/>
      <c r="B194" s="105"/>
      <c r="C194" s="105"/>
    </row>
    <row r="195" spans="1:3" s="106" customFormat="1" ht="12.75" customHeight="1" x14ac:dyDescent="0.3">
      <c r="A195" s="105"/>
      <c r="B195" s="105"/>
      <c r="C195" s="105"/>
    </row>
    <row r="196" spans="1:3" s="106" customFormat="1" ht="12.75" customHeight="1" x14ac:dyDescent="0.3">
      <c r="A196" s="105"/>
      <c r="B196" s="105"/>
      <c r="C196" s="105"/>
    </row>
    <row r="197" spans="1:3" s="106" customFormat="1" ht="12.75" customHeight="1" x14ac:dyDescent="0.3">
      <c r="A197" s="105"/>
      <c r="B197" s="105"/>
      <c r="C197" s="105"/>
    </row>
    <row r="198" spans="1:3" s="106" customFormat="1" ht="12.75" customHeight="1" x14ac:dyDescent="0.3">
      <c r="A198" s="105"/>
      <c r="B198" s="105"/>
      <c r="C198" s="105"/>
    </row>
    <row r="199" spans="1:3" s="106" customFormat="1" ht="12.75" customHeight="1" x14ac:dyDescent="0.3">
      <c r="A199" s="105"/>
      <c r="B199" s="105"/>
      <c r="C199" s="105"/>
    </row>
    <row r="200" spans="1:3" s="106" customFormat="1" ht="12.75" customHeight="1" x14ac:dyDescent="0.3">
      <c r="A200" s="105"/>
      <c r="B200" s="105"/>
      <c r="C200" s="105"/>
    </row>
    <row r="201" spans="1:3" s="106" customFormat="1" ht="12.75" customHeight="1" x14ac:dyDescent="0.3">
      <c r="A201" s="105"/>
      <c r="B201" s="105"/>
      <c r="C201" s="105"/>
    </row>
    <row r="202" spans="1:3" s="106" customFormat="1" ht="12.75" customHeight="1" x14ac:dyDescent="0.3">
      <c r="A202" s="105"/>
      <c r="B202" s="105"/>
      <c r="C202" s="105"/>
    </row>
    <row r="203" spans="1:3" s="106" customFormat="1" ht="12.75" customHeight="1" x14ac:dyDescent="0.3">
      <c r="A203" s="105"/>
      <c r="B203" s="105"/>
      <c r="C203" s="105"/>
    </row>
    <row r="204" spans="1:3" s="106" customFormat="1" ht="12.75" customHeight="1" x14ac:dyDescent="0.3">
      <c r="A204" s="105"/>
      <c r="B204" s="105"/>
      <c r="C204" s="105"/>
    </row>
    <row r="205" spans="1:3" s="106" customFormat="1" ht="12.75" customHeight="1" x14ac:dyDescent="0.3">
      <c r="A205" s="105"/>
      <c r="B205" s="105"/>
      <c r="C205" s="105"/>
    </row>
    <row r="206" spans="1:3" s="106" customFormat="1" ht="12.75" customHeight="1" x14ac:dyDescent="0.3">
      <c r="A206" s="105"/>
      <c r="B206" s="105"/>
      <c r="C206" s="105"/>
    </row>
    <row r="207" spans="1:3" s="106" customFormat="1" ht="12.75" customHeight="1" x14ac:dyDescent="0.3">
      <c r="A207" s="105"/>
      <c r="B207" s="105"/>
      <c r="C207" s="105"/>
    </row>
    <row r="208" spans="1:3" s="106" customFormat="1" ht="12.75" customHeight="1" x14ac:dyDescent="0.3">
      <c r="A208" s="105"/>
      <c r="B208" s="105"/>
      <c r="C208" s="105"/>
    </row>
    <row r="209" spans="1:3" s="106" customFormat="1" ht="12.75" customHeight="1" x14ac:dyDescent="0.3">
      <c r="A209" s="105"/>
      <c r="B209" s="105"/>
      <c r="C209" s="105"/>
    </row>
    <row r="210" spans="1:3" s="106" customFormat="1" ht="12.75" customHeight="1" x14ac:dyDescent="0.3">
      <c r="A210" s="105"/>
      <c r="B210" s="105"/>
      <c r="C210" s="105"/>
    </row>
    <row r="211" spans="1:3" s="106" customFormat="1" ht="12.75" customHeight="1" x14ac:dyDescent="0.3">
      <c r="A211" s="105"/>
      <c r="B211" s="105"/>
      <c r="C211" s="105"/>
    </row>
    <row r="212" spans="1:3" s="106" customFormat="1" ht="12.75" customHeight="1" x14ac:dyDescent="0.3">
      <c r="A212" s="105"/>
      <c r="B212" s="105"/>
      <c r="C212" s="105"/>
    </row>
    <row r="213" spans="1:3" s="106" customFormat="1" ht="12.75" customHeight="1" x14ac:dyDescent="0.3">
      <c r="A213" s="105"/>
      <c r="B213" s="105"/>
      <c r="C213" s="105"/>
    </row>
    <row r="214" spans="1:3" s="106" customFormat="1" ht="12.75" customHeight="1" x14ac:dyDescent="0.3">
      <c r="A214" s="105"/>
      <c r="B214" s="105"/>
      <c r="C214" s="105"/>
    </row>
    <row r="215" spans="1:3" s="106" customFormat="1" ht="12.75" customHeight="1" x14ac:dyDescent="0.3">
      <c r="A215" s="105"/>
      <c r="B215" s="105"/>
      <c r="C215" s="105"/>
    </row>
    <row r="216" spans="1:3" s="106" customFormat="1" ht="12.75" customHeight="1" x14ac:dyDescent="0.3">
      <c r="A216" s="105"/>
      <c r="B216" s="105"/>
      <c r="C216" s="105"/>
    </row>
    <row r="217" spans="1:3" s="106" customFormat="1" ht="12.75" customHeight="1" x14ac:dyDescent="0.3">
      <c r="A217" s="105"/>
      <c r="B217" s="105"/>
      <c r="C217" s="105"/>
    </row>
    <row r="218" spans="1:3" ht="12.75" customHeight="1" x14ac:dyDescent="0.3">
      <c r="A218" s="107"/>
      <c r="B218" s="107"/>
      <c r="C218" s="107"/>
    </row>
    <row r="219" spans="1:3" ht="12.75" customHeight="1" x14ac:dyDescent="0.3">
      <c r="A219" s="107"/>
      <c r="B219" s="107"/>
      <c r="C219" s="107"/>
    </row>
    <row r="220" spans="1:3" ht="12.75" customHeight="1" x14ac:dyDescent="0.3">
      <c r="A220" s="107"/>
      <c r="B220" s="107"/>
      <c r="C220" s="107"/>
    </row>
    <row r="221" spans="1:3" ht="12.75" customHeight="1" x14ac:dyDescent="0.3">
      <c r="A221" s="107"/>
      <c r="B221" s="107"/>
      <c r="C221" s="107"/>
    </row>
    <row r="222" spans="1:3" ht="12.75" customHeight="1" x14ac:dyDescent="0.3">
      <c r="A222" s="107"/>
      <c r="B222" s="107"/>
      <c r="C222" s="107"/>
    </row>
    <row r="223" spans="1:3" ht="12.75" customHeight="1" x14ac:dyDescent="0.3">
      <c r="A223" s="107"/>
      <c r="B223" s="107"/>
      <c r="C223" s="107"/>
    </row>
    <row r="224" spans="1:3" ht="12.75" customHeight="1" x14ac:dyDescent="0.3">
      <c r="A224" s="107"/>
      <c r="B224" s="107"/>
      <c r="C224" s="107"/>
    </row>
    <row r="225" spans="1:3" ht="12.75" customHeight="1" x14ac:dyDescent="0.3">
      <c r="A225" s="107"/>
      <c r="B225" s="107"/>
      <c r="C225" s="107"/>
    </row>
    <row r="226" spans="1:3" ht="12.75" customHeight="1" x14ac:dyDescent="0.3">
      <c r="A226" s="107"/>
      <c r="B226" s="107"/>
      <c r="C226" s="107"/>
    </row>
    <row r="227" spans="1:3" ht="12.75" customHeight="1" x14ac:dyDescent="0.3">
      <c r="A227" s="107"/>
      <c r="B227" s="107"/>
      <c r="C227" s="107"/>
    </row>
    <row r="228" spans="1:3" ht="12.75" customHeight="1" x14ac:dyDescent="0.3">
      <c r="A228" s="107"/>
      <c r="B228" s="107"/>
      <c r="C228" s="107"/>
    </row>
    <row r="229" spans="1:3" ht="12.75" customHeight="1" x14ac:dyDescent="0.3">
      <c r="A229" s="107"/>
      <c r="B229" s="107"/>
      <c r="C229" s="107"/>
    </row>
    <row r="230" spans="1:3" ht="12.75" customHeight="1" x14ac:dyDescent="0.3">
      <c r="A230" s="107"/>
      <c r="B230" s="107"/>
      <c r="C230" s="107"/>
    </row>
    <row r="231" spans="1:3" ht="12.75" customHeight="1" x14ac:dyDescent="0.3">
      <c r="A231" s="107"/>
      <c r="B231" s="107"/>
      <c r="C231" s="107"/>
    </row>
    <row r="232" spans="1:3" ht="12.75" customHeight="1" x14ac:dyDescent="0.3">
      <c r="A232" s="107"/>
      <c r="B232" s="107"/>
      <c r="C232" s="107"/>
    </row>
    <row r="233" spans="1:3" ht="12.75" customHeight="1" x14ac:dyDescent="0.3">
      <c r="A233" s="107"/>
      <c r="B233" s="107"/>
      <c r="C233" s="107"/>
    </row>
    <row r="234" spans="1:3" ht="12.75" customHeight="1" x14ac:dyDescent="0.3">
      <c r="A234" s="107"/>
      <c r="B234" s="107"/>
      <c r="C234" s="107"/>
    </row>
    <row r="235" spans="1:3" ht="12.75" customHeight="1" x14ac:dyDescent="0.3">
      <c r="A235" s="107"/>
      <c r="B235" s="107"/>
      <c r="C235" s="107"/>
    </row>
    <row r="236" spans="1:3" ht="12.75" customHeight="1" x14ac:dyDescent="0.3">
      <c r="A236" s="107"/>
      <c r="B236" s="107"/>
      <c r="C236" s="107"/>
    </row>
    <row r="237" spans="1:3" ht="12.75" customHeight="1" x14ac:dyDescent="0.3">
      <c r="A237" s="107"/>
      <c r="B237" s="107"/>
      <c r="C237" s="107"/>
    </row>
    <row r="238" spans="1:3" ht="12.75" customHeight="1" x14ac:dyDescent="0.3">
      <c r="A238" s="107"/>
      <c r="B238" s="107"/>
      <c r="C238" s="107"/>
    </row>
    <row r="239" spans="1:3" ht="12.75" customHeight="1" x14ac:dyDescent="0.3">
      <c r="A239" s="107"/>
      <c r="B239" s="107"/>
      <c r="C239" s="107"/>
    </row>
    <row r="240" spans="1:3" ht="12.75" customHeight="1" x14ac:dyDescent="0.3">
      <c r="A240" s="107"/>
      <c r="B240" s="107"/>
      <c r="C240" s="107"/>
    </row>
    <row r="241" spans="1:3" ht="12.75" customHeight="1" x14ac:dyDescent="0.3">
      <c r="A241" s="107"/>
      <c r="B241" s="107"/>
      <c r="C241" s="107"/>
    </row>
    <row r="242" spans="1:3" ht="12.75" customHeight="1" x14ac:dyDescent="0.3">
      <c r="A242" s="107"/>
      <c r="B242" s="107"/>
      <c r="C242" s="107"/>
    </row>
    <row r="243" spans="1:3" ht="12.75" customHeight="1" x14ac:dyDescent="0.3">
      <c r="A243" s="107"/>
      <c r="B243" s="107"/>
      <c r="C243" s="107"/>
    </row>
    <row r="244" spans="1:3" ht="12.75" customHeight="1" x14ac:dyDescent="0.3">
      <c r="A244" s="107"/>
      <c r="B244" s="107"/>
      <c r="C244" s="107"/>
    </row>
    <row r="245" spans="1:3" ht="12.75" customHeight="1" x14ac:dyDescent="0.3">
      <c r="A245" s="107"/>
      <c r="B245" s="107"/>
      <c r="C245" s="107"/>
    </row>
    <row r="246" spans="1:3" ht="12.75" customHeight="1" x14ac:dyDescent="0.3">
      <c r="A246" s="107"/>
      <c r="B246" s="107"/>
      <c r="C246" s="107"/>
    </row>
    <row r="247" spans="1:3" ht="12.75" customHeight="1" x14ac:dyDescent="0.3">
      <c r="A247" s="107"/>
      <c r="B247" s="107"/>
      <c r="C247" s="107"/>
    </row>
    <row r="248" spans="1:3" ht="12.75" customHeight="1" x14ac:dyDescent="0.3">
      <c r="A248" s="107"/>
      <c r="B248" s="107"/>
      <c r="C248" s="107"/>
    </row>
    <row r="249" spans="1:3" ht="12.75" customHeight="1" x14ac:dyDescent="0.3">
      <c r="A249" s="107"/>
      <c r="B249" s="107"/>
      <c r="C249" s="107"/>
    </row>
    <row r="250" spans="1:3" ht="12.75" customHeight="1" x14ac:dyDescent="0.3">
      <c r="A250" s="107"/>
      <c r="B250" s="107"/>
      <c r="C250" s="107"/>
    </row>
    <row r="251" spans="1:3" ht="12.75" customHeight="1" x14ac:dyDescent="0.3">
      <c r="A251" s="107"/>
      <c r="B251" s="107"/>
      <c r="C251" s="107"/>
    </row>
    <row r="252" spans="1:3" ht="12.75" customHeight="1" x14ac:dyDescent="0.3">
      <c r="A252" s="107"/>
      <c r="B252" s="107"/>
      <c r="C252" s="107"/>
    </row>
    <row r="253" spans="1:3" ht="12.75" customHeight="1" x14ac:dyDescent="0.3">
      <c r="A253" s="107"/>
      <c r="B253" s="107"/>
      <c r="C253" s="107"/>
    </row>
    <row r="254" spans="1:3" ht="12.75" customHeight="1" x14ac:dyDescent="0.3">
      <c r="A254" s="107"/>
      <c r="B254" s="107"/>
      <c r="C254" s="107"/>
    </row>
    <row r="255" spans="1:3" ht="12.75" customHeight="1" x14ac:dyDescent="0.3">
      <c r="A255" s="107"/>
      <c r="B255" s="107"/>
      <c r="C255" s="107"/>
    </row>
    <row r="256" spans="1:3" ht="12.75" customHeight="1" x14ac:dyDescent="0.3">
      <c r="A256" s="107"/>
      <c r="B256" s="107"/>
      <c r="C256" s="107"/>
    </row>
    <row r="257" spans="1:3" ht="12.75" customHeight="1" x14ac:dyDescent="0.3">
      <c r="A257" s="107"/>
      <c r="B257" s="107"/>
      <c r="C257" s="107"/>
    </row>
    <row r="258" spans="1:3" ht="12.75" customHeight="1" x14ac:dyDescent="0.3">
      <c r="A258" s="107"/>
      <c r="B258" s="107"/>
      <c r="C258" s="107"/>
    </row>
    <row r="259" spans="1:3" ht="12.75" customHeight="1" x14ac:dyDescent="0.3">
      <c r="A259" s="107"/>
      <c r="B259" s="107"/>
      <c r="C259" s="107"/>
    </row>
    <row r="260" spans="1:3" ht="12.75" customHeight="1" x14ac:dyDescent="0.3">
      <c r="A260" s="107"/>
      <c r="B260" s="107"/>
      <c r="C260" s="107"/>
    </row>
    <row r="261" spans="1:3" ht="12.75" customHeight="1" x14ac:dyDescent="0.3">
      <c r="A261" s="107"/>
      <c r="B261" s="107"/>
      <c r="C261" s="107"/>
    </row>
    <row r="262" spans="1:3" ht="12.75" customHeight="1" x14ac:dyDescent="0.3">
      <c r="A262" s="107"/>
      <c r="B262" s="107"/>
      <c r="C262" s="107"/>
    </row>
    <row r="263" spans="1:3" ht="12.75" customHeight="1" x14ac:dyDescent="0.3">
      <c r="A263" s="107"/>
      <c r="B263" s="107"/>
      <c r="C263" s="107"/>
    </row>
    <row r="264" spans="1:3" ht="12.75" customHeight="1" x14ac:dyDescent="0.3">
      <c r="A264" s="107"/>
      <c r="B264" s="107"/>
      <c r="C264" s="107"/>
    </row>
    <row r="265" spans="1:3" ht="12.75" customHeight="1" x14ac:dyDescent="0.3">
      <c r="A265" s="107"/>
      <c r="B265" s="107"/>
      <c r="C265" s="107"/>
    </row>
    <row r="266" spans="1:3" ht="12.75" customHeight="1" x14ac:dyDescent="0.3">
      <c r="A266" s="107"/>
      <c r="B266" s="107"/>
      <c r="C266" s="107"/>
    </row>
    <row r="267" spans="1:3" ht="12.75" customHeight="1" x14ac:dyDescent="0.3">
      <c r="A267" s="107"/>
      <c r="B267" s="107"/>
      <c r="C267" s="107"/>
    </row>
    <row r="268" spans="1:3" ht="12.75" customHeight="1" x14ac:dyDescent="0.3">
      <c r="A268" s="107"/>
      <c r="B268" s="107"/>
      <c r="C268" s="107"/>
    </row>
    <row r="269" spans="1:3" ht="12.75" customHeight="1" x14ac:dyDescent="0.3">
      <c r="A269" s="107"/>
      <c r="B269" s="107"/>
      <c r="C269" s="107"/>
    </row>
    <row r="270" spans="1:3" ht="12.75" customHeight="1" x14ac:dyDescent="0.3">
      <c r="A270" s="107"/>
      <c r="B270" s="107"/>
      <c r="C270" s="107"/>
    </row>
    <row r="271" spans="1:3" ht="12.75" customHeight="1" x14ac:dyDescent="0.3">
      <c r="A271" s="107"/>
      <c r="B271" s="107"/>
      <c r="C271" s="107"/>
    </row>
    <row r="272" spans="1:3" ht="12.75" customHeight="1" x14ac:dyDescent="0.3">
      <c r="A272" s="107"/>
      <c r="B272" s="107"/>
      <c r="C272" s="107"/>
    </row>
    <row r="273" spans="1:3" ht="12.75" customHeight="1" x14ac:dyDescent="0.3">
      <c r="A273" s="107"/>
      <c r="B273" s="107"/>
      <c r="C273" s="107"/>
    </row>
    <row r="274" spans="1:3" ht="12.75" customHeight="1" x14ac:dyDescent="0.3">
      <c r="A274" s="107"/>
      <c r="B274" s="107"/>
      <c r="C274" s="107"/>
    </row>
    <row r="275" spans="1:3" ht="12.75" customHeight="1" x14ac:dyDescent="0.3">
      <c r="A275" s="107"/>
      <c r="B275" s="107"/>
      <c r="C275" s="107"/>
    </row>
    <row r="276" spans="1:3" ht="12.75" customHeight="1" x14ac:dyDescent="0.3">
      <c r="A276" s="107"/>
      <c r="B276" s="107"/>
      <c r="C276" s="107"/>
    </row>
    <row r="277" spans="1:3" ht="12.75" customHeight="1" x14ac:dyDescent="0.3">
      <c r="A277" s="107"/>
      <c r="B277" s="107"/>
      <c r="C277" s="107"/>
    </row>
    <row r="278" spans="1:3" ht="12.75" customHeight="1" x14ac:dyDescent="0.3">
      <c r="A278" s="107"/>
      <c r="B278" s="107"/>
      <c r="C278" s="107"/>
    </row>
    <row r="279" spans="1:3" ht="12.75" customHeight="1" x14ac:dyDescent="0.3">
      <c r="A279" s="107"/>
      <c r="B279" s="107"/>
      <c r="C279" s="107"/>
    </row>
    <row r="280" spans="1:3" ht="12.75" customHeight="1" x14ac:dyDescent="0.3">
      <c r="A280" s="107"/>
      <c r="B280" s="107"/>
      <c r="C280" s="107"/>
    </row>
    <row r="281" spans="1:3" ht="12.75" customHeight="1" x14ac:dyDescent="0.3">
      <c r="A281" s="107"/>
      <c r="B281" s="107"/>
      <c r="C281" s="107"/>
    </row>
    <row r="282" spans="1:3" ht="12.75" customHeight="1" x14ac:dyDescent="0.3">
      <c r="A282" s="107"/>
      <c r="B282" s="107"/>
      <c r="C282" s="107"/>
    </row>
    <row r="283" spans="1:3" ht="12.75" customHeight="1" x14ac:dyDescent="0.3">
      <c r="A283" s="107"/>
      <c r="B283" s="107"/>
      <c r="C283" s="107"/>
    </row>
    <row r="284" spans="1:3" ht="12.75" customHeight="1" x14ac:dyDescent="0.3">
      <c r="A284" s="107"/>
      <c r="B284" s="107"/>
      <c r="C284" s="107"/>
    </row>
    <row r="285" spans="1:3" ht="12.75" customHeight="1" x14ac:dyDescent="0.3">
      <c r="A285" s="107"/>
      <c r="B285" s="107"/>
      <c r="C285" s="107"/>
    </row>
    <row r="286" spans="1:3" ht="12.75" customHeight="1" x14ac:dyDescent="0.3">
      <c r="A286" s="107"/>
      <c r="B286" s="107"/>
      <c r="C286" s="107"/>
    </row>
    <row r="287" spans="1:3" ht="12.75" customHeight="1" x14ac:dyDescent="0.3">
      <c r="A287" s="107"/>
      <c r="B287" s="107"/>
      <c r="C287" s="107"/>
    </row>
    <row r="288" spans="1:3" ht="12.75" customHeight="1" x14ac:dyDescent="0.3">
      <c r="A288" s="107"/>
      <c r="B288" s="107"/>
      <c r="C288" s="107"/>
    </row>
    <row r="289" spans="1:3" ht="12.75" customHeight="1" x14ac:dyDescent="0.3">
      <c r="A289" s="107"/>
      <c r="B289" s="107"/>
      <c r="C289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1"/>
  <sheetViews>
    <sheetView workbookViewId="0">
      <selection activeCell="E27" sqref="E27"/>
    </sheetView>
  </sheetViews>
  <sheetFormatPr baseColWidth="10" defaultRowHeight="16.5" x14ac:dyDescent="0.3"/>
  <cols>
    <col min="1" max="1" width="7.5703125" style="108" bestFit="1" customWidth="1"/>
    <col min="2" max="2" width="8.42578125" style="108" bestFit="1" customWidth="1"/>
    <col min="3" max="3" width="9.7109375" style="108" bestFit="1" customWidth="1"/>
    <col min="4" max="4" width="19.5703125" style="108" bestFit="1" customWidth="1"/>
    <col min="5" max="5" width="82.140625" style="108" bestFit="1" customWidth="1"/>
    <col min="6" max="8" width="6.140625" style="108" bestFit="1" customWidth="1"/>
    <col min="9" max="16384" width="11.42578125" style="108"/>
  </cols>
  <sheetData>
    <row r="1" spans="1:8" s="109" customFormat="1" x14ac:dyDescent="0.3">
      <c r="A1" s="109" t="s">
        <v>1</v>
      </c>
      <c r="B1" s="109" t="s">
        <v>69</v>
      </c>
      <c r="C1" s="109" t="s">
        <v>70</v>
      </c>
      <c r="D1" s="109" t="s">
        <v>71</v>
      </c>
      <c r="E1" s="109" t="s">
        <v>72</v>
      </c>
      <c r="F1" s="109" t="s">
        <v>73</v>
      </c>
      <c r="G1" s="109" t="s">
        <v>74</v>
      </c>
      <c r="H1" s="109" t="s">
        <v>0</v>
      </c>
    </row>
    <row r="2" spans="1:8" s="107" customFormat="1" ht="12.75" x14ac:dyDescent="0.25">
      <c r="A2" s="110">
        <v>44957</v>
      </c>
      <c r="B2" s="111">
        <v>1</v>
      </c>
      <c r="C2" s="111" t="s">
        <v>75</v>
      </c>
      <c r="D2" s="107" t="s">
        <v>76</v>
      </c>
      <c r="E2" s="107" t="s">
        <v>77</v>
      </c>
      <c r="F2" s="112">
        <v>0.5625</v>
      </c>
      <c r="G2" s="112">
        <v>0.67013888888888884</v>
      </c>
      <c r="H2" s="112">
        <f>G2-F2</f>
        <v>0.10763888888888884</v>
      </c>
    </row>
    <row r="3" spans="1:8" s="107" customFormat="1" ht="12.75" x14ac:dyDescent="0.25">
      <c r="A3" s="110">
        <v>44958</v>
      </c>
      <c r="B3" s="107">
        <v>1</v>
      </c>
      <c r="C3" s="111" t="s">
        <v>75</v>
      </c>
      <c r="D3" s="107" t="s">
        <v>78</v>
      </c>
      <c r="E3" s="107" t="s">
        <v>79</v>
      </c>
      <c r="F3" s="112">
        <v>0.44444444444444442</v>
      </c>
      <c r="G3" s="112">
        <v>0.51041666666666663</v>
      </c>
      <c r="H3" s="112">
        <f t="shared" ref="H3:H51" si="0">G3-F3</f>
        <v>6.597222222222221E-2</v>
      </c>
    </row>
    <row r="4" spans="1:8" s="107" customFormat="1" ht="12.75" x14ac:dyDescent="0.25">
      <c r="A4" s="110">
        <v>44958</v>
      </c>
      <c r="B4" s="107">
        <v>1</v>
      </c>
      <c r="C4" s="111" t="s">
        <v>75</v>
      </c>
      <c r="D4" s="107" t="s">
        <v>80</v>
      </c>
      <c r="E4" s="107" t="s">
        <v>81</v>
      </c>
      <c r="F4" s="112">
        <v>0.63888888888888895</v>
      </c>
      <c r="G4" s="112">
        <v>0.66666666666666663</v>
      </c>
      <c r="H4" s="112">
        <f t="shared" si="0"/>
        <v>2.7777777777777679E-2</v>
      </c>
    </row>
    <row r="5" spans="1:8" s="107" customFormat="1" ht="12.75" x14ac:dyDescent="0.25">
      <c r="A5" s="110">
        <v>44958</v>
      </c>
      <c r="B5" s="107">
        <v>1</v>
      </c>
      <c r="C5" s="111" t="s">
        <v>75</v>
      </c>
      <c r="D5" s="107" t="s">
        <v>82</v>
      </c>
      <c r="E5" s="107" t="s">
        <v>83</v>
      </c>
      <c r="F5" s="112">
        <v>0.66666666666666663</v>
      </c>
      <c r="G5" s="112">
        <v>0.70486111111111116</v>
      </c>
      <c r="H5" s="112">
        <f t="shared" si="0"/>
        <v>3.8194444444444531E-2</v>
      </c>
    </row>
    <row r="6" spans="1:8" s="107" customFormat="1" ht="12.75" x14ac:dyDescent="0.25">
      <c r="A6" s="110">
        <v>44959</v>
      </c>
      <c r="B6" s="107">
        <v>1</v>
      </c>
      <c r="C6" s="111" t="s">
        <v>75</v>
      </c>
      <c r="D6" s="107" t="s">
        <v>84</v>
      </c>
      <c r="E6" s="107" t="s">
        <v>85</v>
      </c>
      <c r="F6" s="112">
        <v>0.40972222222222227</v>
      </c>
      <c r="G6" s="112">
        <v>0.4375</v>
      </c>
      <c r="H6" s="112">
        <f t="shared" si="0"/>
        <v>2.7777777777777735E-2</v>
      </c>
    </row>
    <row r="7" spans="1:8" s="107" customFormat="1" ht="12.75" x14ac:dyDescent="0.25">
      <c r="A7" s="110">
        <v>44959</v>
      </c>
      <c r="B7" s="107">
        <v>1</v>
      </c>
      <c r="C7" s="111" t="s">
        <v>86</v>
      </c>
      <c r="D7" s="107" t="s">
        <v>87</v>
      </c>
      <c r="E7" s="107" t="s">
        <v>88</v>
      </c>
      <c r="F7" s="112">
        <v>0.4375</v>
      </c>
      <c r="G7" s="112">
        <v>0.4861111111111111</v>
      </c>
      <c r="H7" s="112">
        <f t="shared" si="0"/>
        <v>4.8611111111111105E-2</v>
      </c>
    </row>
    <row r="8" spans="1:8" s="107" customFormat="1" ht="12.75" x14ac:dyDescent="0.25">
      <c r="A8" s="110">
        <v>44959</v>
      </c>
      <c r="B8" s="107">
        <v>1</v>
      </c>
      <c r="C8" s="111" t="s">
        <v>52</v>
      </c>
      <c r="D8" s="107" t="s">
        <v>89</v>
      </c>
      <c r="E8" s="107" t="s">
        <v>90</v>
      </c>
      <c r="F8" s="112">
        <v>0.4861111111111111</v>
      </c>
      <c r="G8" s="112">
        <v>0.5</v>
      </c>
      <c r="H8" s="112">
        <f t="shared" si="0"/>
        <v>1.3888888888888895E-2</v>
      </c>
    </row>
    <row r="9" spans="1:8" s="107" customFormat="1" ht="12.75" x14ac:dyDescent="0.25">
      <c r="A9" s="110">
        <v>44959</v>
      </c>
      <c r="B9" s="107">
        <v>1</v>
      </c>
      <c r="C9" s="111" t="s">
        <v>52</v>
      </c>
      <c r="D9" s="107" t="s">
        <v>91</v>
      </c>
      <c r="E9" s="107" t="s">
        <v>92</v>
      </c>
      <c r="F9" s="112">
        <v>0.5</v>
      </c>
      <c r="G9" s="112">
        <v>0.51041666666666663</v>
      </c>
      <c r="H9" s="112">
        <f t="shared" si="0"/>
        <v>1.041666666666663E-2</v>
      </c>
    </row>
    <row r="10" spans="1:8" s="107" customFormat="1" ht="12.75" x14ac:dyDescent="0.25">
      <c r="A10" s="110">
        <v>44959</v>
      </c>
      <c r="B10" s="107">
        <v>1</v>
      </c>
      <c r="C10" s="111" t="s">
        <v>75</v>
      </c>
      <c r="D10" s="107" t="s">
        <v>93</v>
      </c>
      <c r="E10" s="107" t="s">
        <v>94</v>
      </c>
      <c r="F10" s="112">
        <v>0.56944444444444442</v>
      </c>
      <c r="G10" s="112">
        <v>0.58333333333333337</v>
      </c>
      <c r="H10" s="112">
        <f t="shared" si="0"/>
        <v>1.3888888888888951E-2</v>
      </c>
    </row>
    <row r="11" spans="1:8" s="107" customFormat="1" ht="12.75" x14ac:dyDescent="0.25">
      <c r="A11" s="110">
        <v>44959</v>
      </c>
      <c r="B11" s="107">
        <v>1</v>
      </c>
      <c r="C11" s="111" t="s">
        <v>75</v>
      </c>
      <c r="D11" s="107" t="s">
        <v>95</v>
      </c>
      <c r="E11" s="107" t="s">
        <v>96</v>
      </c>
      <c r="F11" s="112">
        <v>0.58333333333333337</v>
      </c>
      <c r="G11" s="112">
        <v>0.62847222222222221</v>
      </c>
      <c r="H11" s="112">
        <f t="shared" si="0"/>
        <v>4.513888888888884E-2</v>
      </c>
    </row>
    <row r="12" spans="1:8" s="107" customFormat="1" ht="12.75" x14ac:dyDescent="0.25">
      <c r="A12" s="110">
        <v>44964</v>
      </c>
      <c r="B12" s="107">
        <v>2</v>
      </c>
      <c r="C12" s="111" t="s">
        <v>75</v>
      </c>
      <c r="D12" s="107" t="s">
        <v>97</v>
      </c>
      <c r="E12" s="107" t="s">
        <v>98</v>
      </c>
      <c r="F12" s="112">
        <v>0.5625</v>
      </c>
      <c r="G12" s="112">
        <v>0.59375</v>
      </c>
      <c r="H12" s="112">
        <f t="shared" si="0"/>
        <v>3.125E-2</v>
      </c>
    </row>
    <row r="13" spans="1:8" s="107" customFormat="1" ht="12.75" x14ac:dyDescent="0.25">
      <c r="A13" s="110">
        <v>44964</v>
      </c>
      <c r="B13" s="107">
        <v>2</v>
      </c>
      <c r="C13" s="111" t="s">
        <v>75</v>
      </c>
      <c r="D13" s="107" t="s">
        <v>99</v>
      </c>
      <c r="E13" s="107" t="s">
        <v>100</v>
      </c>
      <c r="F13" s="112">
        <v>0.59375</v>
      </c>
      <c r="G13" s="112">
        <v>0.60763888888888895</v>
      </c>
      <c r="H13" s="112">
        <f t="shared" si="0"/>
        <v>1.3888888888888951E-2</v>
      </c>
    </row>
    <row r="14" spans="1:8" s="107" customFormat="1" ht="12.75" x14ac:dyDescent="0.25">
      <c r="A14" s="110">
        <v>44964</v>
      </c>
      <c r="B14" s="107">
        <v>2</v>
      </c>
      <c r="C14" s="111" t="s">
        <v>75</v>
      </c>
      <c r="D14" s="107" t="s">
        <v>101</v>
      </c>
      <c r="E14" s="107" t="s">
        <v>102</v>
      </c>
      <c r="F14" s="112">
        <v>0.60763888888888895</v>
      </c>
      <c r="G14" s="112">
        <v>0.62847222222222221</v>
      </c>
      <c r="H14" s="112">
        <f t="shared" si="0"/>
        <v>2.0833333333333259E-2</v>
      </c>
    </row>
    <row r="15" spans="1:8" s="107" customFormat="1" ht="12.75" x14ac:dyDescent="0.25">
      <c r="A15" s="110">
        <v>44964</v>
      </c>
      <c r="B15" s="107">
        <v>2</v>
      </c>
      <c r="C15" s="111" t="s">
        <v>75</v>
      </c>
      <c r="D15" s="107" t="s">
        <v>101</v>
      </c>
      <c r="E15" s="107" t="s">
        <v>103</v>
      </c>
      <c r="F15" s="112">
        <v>0.63888888888888895</v>
      </c>
      <c r="G15" s="112">
        <v>0.66319444444444442</v>
      </c>
      <c r="H15" s="112">
        <f t="shared" si="0"/>
        <v>2.4305555555555469E-2</v>
      </c>
    </row>
    <row r="16" spans="1:8" s="107" customFormat="1" ht="12.75" x14ac:dyDescent="0.25">
      <c r="A16" s="110">
        <v>44964</v>
      </c>
      <c r="B16" s="107">
        <v>2</v>
      </c>
      <c r="C16" s="111" t="s">
        <v>52</v>
      </c>
      <c r="D16" s="107" t="s">
        <v>104</v>
      </c>
      <c r="E16" s="107" t="s">
        <v>105</v>
      </c>
      <c r="F16" s="112">
        <v>0.66319444444444442</v>
      </c>
      <c r="G16" s="112">
        <v>0.67013888888888884</v>
      </c>
      <c r="H16" s="112">
        <f t="shared" si="0"/>
        <v>6.9444444444444198E-3</v>
      </c>
    </row>
    <row r="17" spans="1:8" s="107" customFormat="1" ht="12.75" x14ac:dyDescent="0.25">
      <c r="A17" s="110">
        <v>44965</v>
      </c>
      <c r="B17" s="107">
        <v>2</v>
      </c>
      <c r="C17" s="111" t="s">
        <v>52</v>
      </c>
      <c r="D17" s="107" t="s">
        <v>52</v>
      </c>
      <c r="E17" s="107" t="s">
        <v>106</v>
      </c>
      <c r="F17" s="112">
        <v>0.44791666666666669</v>
      </c>
      <c r="G17" s="112">
        <v>0.46875</v>
      </c>
      <c r="H17" s="112">
        <f t="shared" si="0"/>
        <v>2.0833333333333315E-2</v>
      </c>
    </row>
    <row r="18" spans="1:8" s="107" customFormat="1" ht="12.75" x14ac:dyDescent="0.25">
      <c r="A18" s="110">
        <v>44965</v>
      </c>
      <c r="B18" s="107">
        <v>2</v>
      </c>
      <c r="C18" s="111" t="s">
        <v>52</v>
      </c>
      <c r="D18" s="107" t="s">
        <v>52</v>
      </c>
      <c r="E18" s="107" t="s">
        <v>28</v>
      </c>
      <c r="F18" s="112">
        <v>0.46875</v>
      </c>
      <c r="G18" s="112">
        <v>0.51041666666666663</v>
      </c>
      <c r="H18" s="112">
        <f t="shared" si="0"/>
        <v>4.166666666666663E-2</v>
      </c>
    </row>
    <row r="19" spans="1:8" s="107" customFormat="1" ht="12.75" x14ac:dyDescent="0.25">
      <c r="A19" s="110">
        <v>44966</v>
      </c>
      <c r="B19" s="107">
        <v>2</v>
      </c>
      <c r="C19" s="111" t="s">
        <v>52</v>
      </c>
      <c r="D19" s="107" t="s">
        <v>52</v>
      </c>
      <c r="E19" s="107" t="s">
        <v>28</v>
      </c>
      <c r="F19" s="112">
        <v>0.40972222222222227</v>
      </c>
      <c r="G19" s="112">
        <v>0.51041666666666663</v>
      </c>
      <c r="H19" s="112">
        <f t="shared" si="0"/>
        <v>0.10069444444444436</v>
      </c>
    </row>
    <row r="20" spans="1:8" s="107" customFormat="1" ht="12.75" x14ac:dyDescent="0.25">
      <c r="A20" s="110">
        <v>44966</v>
      </c>
      <c r="B20" s="107">
        <v>2</v>
      </c>
      <c r="C20" s="111" t="s">
        <v>52</v>
      </c>
      <c r="D20" s="107" t="s">
        <v>107</v>
      </c>
      <c r="E20" s="107" t="s">
        <v>108</v>
      </c>
      <c r="F20" s="112">
        <v>0.5625</v>
      </c>
      <c r="G20" s="112">
        <v>0.59375</v>
      </c>
      <c r="H20" s="112">
        <f t="shared" si="0"/>
        <v>3.125E-2</v>
      </c>
    </row>
    <row r="21" spans="1:8" s="107" customFormat="1" ht="12.75" x14ac:dyDescent="0.25">
      <c r="A21" s="110">
        <v>44978</v>
      </c>
      <c r="B21" s="107">
        <v>3</v>
      </c>
      <c r="C21" s="111" t="s">
        <v>109</v>
      </c>
      <c r="D21" s="107" t="s">
        <v>78</v>
      </c>
      <c r="E21" s="107" t="s">
        <v>116</v>
      </c>
      <c r="F21" s="112">
        <v>0.5625</v>
      </c>
      <c r="G21" s="112">
        <v>0.67013888888888884</v>
      </c>
      <c r="H21" s="112">
        <f t="shared" si="0"/>
        <v>0.10763888888888884</v>
      </c>
    </row>
    <row r="22" spans="1:8" s="107" customFormat="1" ht="12.75" x14ac:dyDescent="0.25">
      <c r="A22" s="110">
        <v>44979</v>
      </c>
      <c r="B22" s="107">
        <v>3</v>
      </c>
      <c r="C22" s="111" t="s">
        <v>75</v>
      </c>
      <c r="D22" s="107" t="s">
        <v>117</v>
      </c>
      <c r="E22" s="107" t="s">
        <v>110</v>
      </c>
      <c r="F22" s="112">
        <v>0.44444444444444442</v>
      </c>
      <c r="G22" s="112">
        <v>0.47222222222222227</v>
      </c>
      <c r="H22" s="112">
        <f t="shared" si="0"/>
        <v>2.7777777777777846E-2</v>
      </c>
    </row>
    <row r="23" spans="1:8" s="107" customFormat="1" ht="12.75" x14ac:dyDescent="0.25">
      <c r="A23" s="110">
        <v>44979</v>
      </c>
      <c r="B23" s="107">
        <v>3</v>
      </c>
      <c r="C23" s="111" t="s">
        <v>86</v>
      </c>
      <c r="D23" s="107" t="s">
        <v>115</v>
      </c>
      <c r="E23" s="107" t="s">
        <v>121</v>
      </c>
      <c r="F23" s="112">
        <v>0.47222222222222227</v>
      </c>
      <c r="G23" s="112">
        <v>0.51041666666666663</v>
      </c>
      <c r="H23" s="112">
        <f t="shared" si="0"/>
        <v>3.8194444444444364E-2</v>
      </c>
    </row>
    <row r="24" spans="1:8" s="107" customFormat="1" ht="12.75" x14ac:dyDescent="0.25">
      <c r="A24" s="110">
        <v>44979</v>
      </c>
      <c r="B24" s="107">
        <v>3</v>
      </c>
      <c r="C24" s="111" t="s">
        <v>86</v>
      </c>
      <c r="D24" s="107" t="s">
        <v>115</v>
      </c>
      <c r="E24" s="107" t="s">
        <v>122</v>
      </c>
      <c r="F24" s="112">
        <v>0.5625</v>
      </c>
      <c r="G24" s="112">
        <v>0.70486111111111116</v>
      </c>
      <c r="H24" s="112">
        <f t="shared" si="0"/>
        <v>0.14236111111111116</v>
      </c>
    </row>
    <row r="25" spans="1:8" s="107" customFormat="1" ht="12.75" x14ac:dyDescent="0.25">
      <c r="A25" s="110">
        <v>44980</v>
      </c>
      <c r="B25" s="107">
        <v>3</v>
      </c>
      <c r="C25" s="111" t="s">
        <v>52</v>
      </c>
      <c r="D25" s="107" t="s">
        <v>114</v>
      </c>
      <c r="E25" s="107" t="s">
        <v>124</v>
      </c>
      <c r="F25" s="112">
        <v>0.40972222222222227</v>
      </c>
      <c r="G25" s="112">
        <v>0.45833333333333331</v>
      </c>
      <c r="H25" s="112">
        <f t="shared" si="0"/>
        <v>4.8611111111111049E-2</v>
      </c>
    </row>
    <row r="26" spans="1:8" s="107" customFormat="1" ht="12.75" x14ac:dyDescent="0.25">
      <c r="A26" s="110">
        <v>44980</v>
      </c>
      <c r="B26" s="107">
        <v>3</v>
      </c>
      <c r="C26" s="111" t="s">
        <v>75</v>
      </c>
      <c r="D26" s="107" t="s">
        <v>120</v>
      </c>
      <c r="E26" s="107" t="s">
        <v>123</v>
      </c>
      <c r="F26" s="112">
        <v>0.45833333333333331</v>
      </c>
      <c r="G26" s="112">
        <v>0.51041666666666663</v>
      </c>
      <c r="H26" s="112">
        <f t="shared" si="0"/>
        <v>5.2083333333333315E-2</v>
      </c>
    </row>
    <row r="27" spans="1:8" s="107" customFormat="1" ht="12.75" x14ac:dyDescent="0.25">
      <c r="A27" s="110">
        <v>44980</v>
      </c>
      <c r="B27" s="107">
        <v>3</v>
      </c>
      <c r="C27" s="111" t="s">
        <v>52</v>
      </c>
      <c r="D27" s="107" t="s">
        <v>125</v>
      </c>
      <c r="E27" s="107" t="s">
        <v>126</v>
      </c>
      <c r="F27" s="112">
        <v>0.5625</v>
      </c>
      <c r="G27" s="112">
        <v>0.62847222222222221</v>
      </c>
      <c r="H27" s="112">
        <f t="shared" si="0"/>
        <v>6.597222222222221E-2</v>
      </c>
    </row>
    <row r="28" spans="1:8" s="107" customFormat="1" ht="12.75" x14ac:dyDescent="0.25">
      <c r="A28" s="110"/>
      <c r="C28" s="111"/>
      <c r="F28" s="112"/>
      <c r="G28" s="112"/>
      <c r="H28" s="112">
        <f t="shared" si="0"/>
        <v>0</v>
      </c>
    </row>
    <row r="29" spans="1:8" s="107" customFormat="1" ht="12.75" x14ac:dyDescent="0.25">
      <c r="A29" s="110"/>
      <c r="C29" s="111"/>
      <c r="F29" s="112"/>
      <c r="G29" s="112"/>
      <c r="H29" s="112">
        <f t="shared" si="0"/>
        <v>0</v>
      </c>
    </row>
    <row r="30" spans="1:8" s="107" customFormat="1" ht="12.75" x14ac:dyDescent="0.25">
      <c r="A30" s="110"/>
      <c r="C30" s="111"/>
      <c r="F30" s="112"/>
      <c r="G30" s="112"/>
      <c r="H30" s="112">
        <f t="shared" si="0"/>
        <v>0</v>
      </c>
    </row>
    <row r="31" spans="1:8" s="107" customFormat="1" ht="12.75" x14ac:dyDescent="0.25">
      <c r="A31" s="110"/>
      <c r="C31" s="111"/>
      <c r="F31" s="112"/>
      <c r="G31" s="112"/>
      <c r="H31" s="112">
        <f t="shared" si="0"/>
        <v>0</v>
      </c>
    </row>
    <row r="32" spans="1:8" s="107" customFormat="1" ht="12.75" x14ac:dyDescent="0.25">
      <c r="A32" s="110"/>
      <c r="C32" s="111"/>
      <c r="F32" s="112"/>
      <c r="G32" s="112"/>
      <c r="H32" s="112">
        <f t="shared" si="0"/>
        <v>0</v>
      </c>
    </row>
    <row r="33" spans="1:8" s="107" customFormat="1" ht="12.75" x14ac:dyDescent="0.25">
      <c r="A33" s="110"/>
      <c r="C33" s="111"/>
      <c r="F33" s="112"/>
      <c r="G33" s="112"/>
      <c r="H33" s="112">
        <f t="shared" si="0"/>
        <v>0</v>
      </c>
    </row>
    <row r="34" spans="1:8" s="107" customFormat="1" ht="12.75" x14ac:dyDescent="0.25">
      <c r="A34" s="110"/>
      <c r="C34" s="111"/>
      <c r="F34" s="112"/>
      <c r="G34" s="112"/>
      <c r="H34" s="112">
        <f t="shared" si="0"/>
        <v>0</v>
      </c>
    </row>
    <row r="35" spans="1:8" s="107" customFormat="1" ht="12.75" x14ac:dyDescent="0.25">
      <c r="A35" s="110"/>
      <c r="C35" s="111"/>
      <c r="F35" s="112"/>
      <c r="G35" s="112"/>
      <c r="H35" s="112">
        <f t="shared" si="0"/>
        <v>0</v>
      </c>
    </row>
    <row r="36" spans="1:8" s="107" customFormat="1" ht="12.75" x14ac:dyDescent="0.25">
      <c r="A36" s="110"/>
      <c r="C36" s="111"/>
      <c r="F36" s="112"/>
      <c r="G36" s="112"/>
      <c r="H36" s="112">
        <f t="shared" si="0"/>
        <v>0</v>
      </c>
    </row>
    <row r="37" spans="1:8" s="107" customFormat="1" ht="12.75" x14ac:dyDescent="0.25">
      <c r="A37" s="110"/>
      <c r="C37" s="111"/>
      <c r="F37" s="112"/>
      <c r="G37" s="112"/>
      <c r="H37" s="112">
        <f t="shared" si="0"/>
        <v>0</v>
      </c>
    </row>
    <row r="38" spans="1:8" s="107" customFormat="1" ht="12.75" x14ac:dyDescent="0.25">
      <c r="C38" s="111"/>
      <c r="F38" s="112"/>
      <c r="G38" s="112"/>
      <c r="H38" s="112">
        <f t="shared" si="0"/>
        <v>0</v>
      </c>
    </row>
    <row r="39" spans="1:8" s="107" customFormat="1" ht="12.75" x14ac:dyDescent="0.25">
      <c r="C39" s="111"/>
      <c r="F39" s="112"/>
      <c r="G39" s="112"/>
      <c r="H39" s="112">
        <f t="shared" si="0"/>
        <v>0</v>
      </c>
    </row>
    <row r="40" spans="1:8" s="107" customFormat="1" ht="12.75" x14ac:dyDescent="0.25">
      <c r="C40" s="111"/>
      <c r="F40" s="112"/>
      <c r="G40" s="112"/>
      <c r="H40" s="112">
        <f t="shared" si="0"/>
        <v>0</v>
      </c>
    </row>
    <row r="41" spans="1:8" s="107" customFormat="1" ht="12.75" x14ac:dyDescent="0.25">
      <c r="C41" s="111"/>
      <c r="F41" s="112"/>
      <c r="G41" s="112"/>
      <c r="H41" s="112">
        <f t="shared" si="0"/>
        <v>0</v>
      </c>
    </row>
    <row r="42" spans="1:8" s="107" customFormat="1" ht="12.75" x14ac:dyDescent="0.25">
      <c r="C42" s="111"/>
      <c r="F42" s="112"/>
      <c r="G42" s="112"/>
      <c r="H42" s="112">
        <f t="shared" si="0"/>
        <v>0</v>
      </c>
    </row>
    <row r="43" spans="1:8" s="107" customFormat="1" ht="12.75" x14ac:dyDescent="0.25">
      <c r="C43" s="111"/>
      <c r="F43" s="112"/>
      <c r="G43" s="112"/>
      <c r="H43" s="112">
        <f t="shared" si="0"/>
        <v>0</v>
      </c>
    </row>
    <row r="44" spans="1:8" s="107" customFormat="1" ht="12.75" x14ac:dyDescent="0.25">
      <c r="C44" s="111"/>
      <c r="F44" s="112"/>
      <c r="G44" s="112"/>
      <c r="H44" s="112">
        <f t="shared" si="0"/>
        <v>0</v>
      </c>
    </row>
    <row r="45" spans="1:8" s="107" customFormat="1" ht="12.75" x14ac:dyDescent="0.25">
      <c r="C45" s="111"/>
      <c r="F45" s="112"/>
      <c r="G45" s="112"/>
      <c r="H45" s="112">
        <f t="shared" si="0"/>
        <v>0</v>
      </c>
    </row>
    <row r="46" spans="1:8" s="107" customFormat="1" ht="12.75" x14ac:dyDescent="0.25">
      <c r="C46" s="111"/>
      <c r="F46" s="112"/>
      <c r="G46" s="112"/>
      <c r="H46" s="112">
        <f t="shared" si="0"/>
        <v>0</v>
      </c>
    </row>
    <row r="47" spans="1:8" s="107" customFormat="1" ht="12.75" x14ac:dyDescent="0.25">
      <c r="C47" s="111"/>
      <c r="F47" s="112"/>
      <c r="G47" s="112"/>
      <c r="H47" s="112">
        <f t="shared" si="0"/>
        <v>0</v>
      </c>
    </row>
    <row r="48" spans="1:8" s="107" customFormat="1" ht="12.75" x14ac:dyDescent="0.25">
      <c r="C48" s="111"/>
      <c r="F48" s="112"/>
      <c r="G48" s="112"/>
      <c r="H48" s="112">
        <f t="shared" si="0"/>
        <v>0</v>
      </c>
    </row>
    <row r="49" spans="3:8" s="107" customFormat="1" ht="12.75" x14ac:dyDescent="0.25">
      <c r="C49" s="111"/>
      <c r="F49" s="112"/>
      <c r="G49" s="112"/>
      <c r="H49" s="112">
        <f t="shared" si="0"/>
        <v>0</v>
      </c>
    </row>
    <row r="50" spans="3:8" s="107" customFormat="1" ht="12.75" x14ac:dyDescent="0.25">
      <c r="C50" s="111"/>
      <c r="F50" s="112"/>
      <c r="G50" s="112"/>
      <c r="H50" s="112">
        <f t="shared" si="0"/>
        <v>0</v>
      </c>
    </row>
    <row r="51" spans="3:8" s="107" customFormat="1" ht="12.75" x14ac:dyDescent="0.25">
      <c r="C51" s="111"/>
      <c r="F51" s="112"/>
      <c r="G51" s="112"/>
      <c r="H51" s="112">
        <f t="shared" si="0"/>
        <v>0</v>
      </c>
    </row>
    <row r="52" spans="3:8" s="107" customFormat="1" ht="12.75" x14ac:dyDescent="0.25">
      <c r="H52" s="112">
        <f>SUM(H2:H51)</f>
        <v>1.1736111111111107</v>
      </c>
    </row>
    <row r="53" spans="3:8" s="107" customFormat="1" ht="12.75" x14ac:dyDescent="0.25"/>
    <row r="54" spans="3:8" s="107" customFormat="1" ht="12.75" x14ac:dyDescent="0.25"/>
    <row r="55" spans="3:8" s="107" customFormat="1" ht="12.75" x14ac:dyDescent="0.25"/>
    <row r="56" spans="3:8" s="107" customFormat="1" ht="12.75" x14ac:dyDescent="0.25"/>
    <row r="57" spans="3:8" s="107" customFormat="1" ht="12.75" x14ac:dyDescent="0.25"/>
    <row r="58" spans="3:8" s="107" customFormat="1" ht="12.75" x14ac:dyDescent="0.25"/>
    <row r="59" spans="3:8" s="107" customFormat="1" ht="12.75" x14ac:dyDescent="0.25"/>
    <row r="60" spans="3:8" s="107" customFormat="1" ht="12.75" x14ac:dyDescent="0.25"/>
    <row r="61" spans="3:8" s="107" customFormat="1" ht="12.75" x14ac:dyDescent="0.25"/>
    <row r="62" spans="3:8" s="107" customFormat="1" ht="12.75" x14ac:dyDescent="0.25"/>
    <row r="63" spans="3:8" s="107" customFormat="1" ht="12.75" x14ac:dyDescent="0.25"/>
    <row r="64" spans="3:8" s="107" customFormat="1" ht="12.75" x14ac:dyDescent="0.25"/>
    <row r="65" s="107" customFormat="1" ht="12.75" x14ac:dyDescent="0.25"/>
    <row r="66" s="107" customFormat="1" ht="12.75" x14ac:dyDescent="0.25"/>
    <row r="67" s="107" customFormat="1" ht="12.75" x14ac:dyDescent="0.25"/>
    <row r="68" s="107" customFormat="1" ht="12.75" x14ac:dyDescent="0.25"/>
    <row r="69" s="107" customFormat="1" ht="12.75" x14ac:dyDescent="0.25"/>
    <row r="70" s="107" customFormat="1" ht="12.75" x14ac:dyDescent="0.25"/>
    <row r="71" s="107" customFormat="1" ht="12.75" x14ac:dyDescent="0.25"/>
    <row r="72" s="107" customFormat="1" ht="12.75" x14ac:dyDescent="0.25"/>
    <row r="73" s="107" customFormat="1" ht="12.75" x14ac:dyDescent="0.25"/>
    <row r="74" s="107" customFormat="1" ht="12.75" x14ac:dyDescent="0.25"/>
    <row r="75" s="107" customFormat="1" ht="12.75" x14ac:dyDescent="0.25"/>
    <row r="76" s="107" customFormat="1" ht="12.75" x14ac:dyDescent="0.25"/>
    <row r="77" s="107" customFormat="1" ht="12.75" x14ac:dyDescent="0.25"/>
    <row r="78" s="107" customFormat="1" ht="12.75" x14ac:dyDescent="0.25"/>
    <row r="79" s="107" customFormat="1" ht="12.75" x14ac:dyDescent="0.25"/>
    <row r="80" s="107" customFormat="1" ht="12.75" x14ac:dyDescent="0.25"/>
    <row r="81" s="107" customFormat="1" ht="12.75" x14ac:dyDescent="0.25"/>
    <row r="82" s="107" customFormat="1" ht="12.75" x14ac:dyDescent="0.25"/>
    <row r="83" s="107" customFormat="1" ht="12.75" x14ac:dyDescent="0.25"/>
    <row r="84" s="107" customFormat="1" ht="12.75" x14ac:dyDescent="0.25"/>
    <row r="85" s="107" customFormat="1" ht="12.75" x14ac:dyDescent="0.25"/>
    <row r="86" s="107" customFormat="1" ht="12.75" x14ac:dyDescent="0.25"/>
    <row r="87" s="107" customFormat="1" ht="12.75" x14ac:dyDescent="0.25"/>
    <row r="88" s="107" customFormat="1" ht="12.75" x14ac:dyDescent="0.25"/>
    <row r="89" s="107" customFormat="1" ht="12.75" x14ac:dyDescent="0.25"/>
    <row r="90" s="107" customFormat="1" ht="12.75" x14ac:dyDescent="0.25"/>
    <row r="91" s="107" customFormat="1" ht="12.75" x14ac:dyDescent="0.25"/>
    <row r="92" s="107" customFormat="1" ht="12.75" x14ac:dyDescent="0.25"/>
    <row r="93" s="107" customFormat="1" ht="12.75" x14ac:dyDescent="0.25"/>
    <row r="94" s="107" customFormat="1" ht="12.75" x14ac:dyDescent="0.25"/>
    <row r="95" s="107" customFormat="1" ht="12.75" x14ac:dyDescent="0.25"/>
    <row r="96" s="107" customFormat="1" ht="12.75" x14ac:dyDescent="0.25"/>
    <row r="97" s="107" customFormat="1" ht="12.75" x14ac:dyDescent="0.25"/>
    <row r="98" s="107" customFormat="1" ht="12.75" x14ac:dyDescent="0.25"/>
    <row r="99" s="107" customFormat="1" ht="12.75" x14ac:dyDescent="0.25"/>
    <row r="100" s="107" customFormat="1" ht="12.75" x14ac:dyDescent="0.25"/>
    <row r="101" s="107" customFormat="1" ht="12.75" x14ac:dyDescent="0.25"/>
    <row r="102" s="107" customFormat="1" ht="12.75" x14ac:dyDescent="0.25"/>
    <row r="103" s="107" customFormat="1" ht="12.75" x14ac:dyDescent="0.25"/>
    <row r="104" s="107" customFormat="1" ht="12.75" x14ac:dyDescent="0.25"/>
    <row r="105" s="107" customFormat="1" ht="12.75" x14ac:dyDescent="0.25"/>
    <row r="106" s="107" customFormat="1" ht="12.75" x14ac:dyDescent="0.25"/>
    <row r="107" s="107" customFormat="1" ht="12.75" x14ac:dyDescent="0.25"/>
    <row r="108" s="107" customFormat="1" ht="12.75" x14ac:dyDescent="0.25"/>
    <row r="109" s="107" customFormat="1" ht="12.75" x14ac:dyDescent="0.25"/>
    <row r="110" s="107" customFormat="1" ht="12.75" x14ac:dyDescent="0.25"/>
    <row r="111" s="107" customFormat="1" ht="12.75" x14ac:dyDescent="0.25"/>
    <row r="112" s="107" customFormat="1" ht="12.75" x14ac:dyDescent="0.25"/>
    <row r="113" s="107" customFormat="1" ht="12.75" x14ac:dyDescent="0.25"/>
    <row r="114" s="107" customFormat="1" ht="12.75" x14ac:dyDescent="0.25"/>
    <row r="115" s="107" customFormat="1" ht="12.75" x14ac:dyDescent="0.25"/>
    <row r="116" s="107" customFormat="1" ht="12.75" x14ac:dyDescent="0.25"/>
    <row r="117" s="107" customFormat="1" ht="12.75" x14ac:dyDescent="0.25"/>
    <row r="118" s="107" customFormat="1" ht="12.75" x14ac:dyDescent="0.25"/>
    <row r="119" s="107" customFormat="1" ht="12.75" x14ac:dyDescent="0.25"/>
    <row r="120" s="107" customFormat="1" ht="12.75" x14ac:dyDescent="0.25"/>
    <row r="121" s="107" customFormat="1" ht="12.75" x14ac:dyDescent="0.25"/>
    <row r="122" s="107" customFormat="1" ht="12.75" x14ac:dyDescent="0.25"/>
    <row r="123" s="107" customFormat="1" ht="12.75" x14ac:dyDescent="0.25"/>
    <row r="124" s="107" customFormat="1" ht="12.75" x14ac:dyDescent="0.25"/>
    <row r="125" s="107" customFormat="1" ht="12.75" x14ac:dyDescent="0.25"/>
    <row r="126" s="107" customFormat="1" ht="12.75" x14ac:dyDescent="0.25"/>
    <row r="127" s="107" customFormat="1" ht="12.75" x14ac:dyDescent="0.25"/>
    <row r="128" s="107" customFormat="1" ht="12.75" x14ac:dyDescent="0.25"/>
    <row r="129" s="107" customFormat="1" ht="12.75" x14ac:dyDescent="0.25"/>
    <row r="130" s="107" customFormat="1" ht="12.75" x14ac:dyDescent="0.25"/>
    <row r="131" s="107" customFormat="1" ht="12.75" x14ac:dyDescent="0.25"/>
    <row r="132" s="107" customFormat="1" ht="12.75" x14ac:dyDescent="0.25"/>
    <row r="133" s="107" customFormat="1" ht="12.75" x14ac:dyDescent="0.25"/>
    <row r="134" s="107" customFormat="1" ht="12.75" x14ac:dyDescent="0.25"/>
    <row r="135" s="107" customFormat="1" ht="12.75" x14ac:dyDescent="0.25"/>
    <row r="136" s="107" customFormat="1" ht="12.75" x14ac:dyDescent="0.25"/>
    <row r="137" s="107" customFormat="1" ht="12.75" x14ac:dyDescent="0.25"/>
    <row r="138" s="107" customFormat="1" ht="12.75" x14ac:dyDescent="0.25"/>
    <row r="139" s="107" customFormat="1" ht="12.75" x14ac:dyDescent="0.25"/>
    <row r="140" s="107" customFormat="1" ht="12.75" x14ac:dyDescent="0.25"/>
    <row r="141" s="107" customFormat="1" ht="12.75" x14ac:dyDescent="0.25"/>
    <row r="142" s="107" customFormat="1" ht="12.75" x14ac:dyDescent="0.25"/>
    <row r="143" s="107" customFormat="1" ht="12.75" x14ac:dyDescent="0.25"/>
    <row r="144" s="107" customFormat="1" ht="12.75" x14ac:dyDescent="0.25"/>
    <row r="145" s="107" customFormat="1" ht="12.75" x14ac:dyDescent="0.25"/>
    <row r="146" s="107" customFormat="1" ht="12.75" x14ac:dyDescent="0.25"/>
    <row r="147" s="107" customFormat="1" ht="12.75" x14ac:dyDescent="0.25"/>
    <row r="148" s="107" customFormat="1" ht="12.75" x14ac:dyDescent="0.25"/>
    <row r="149" s="107" customFormat="1" ht="12.75" x14ac:dyDescent="0.25"/>
    <row r="150" s="107" customFormat="1" ht="12.75" x14ac:dyDescent="0.25"/>
    <row r="151" s="107" customFormat="1" ht="12.75" x14ac:dyDescent="0.25"/>
    <row r="152" s="107" customFormat="1" ht="12.75" x14ac:dyDescent="0.25"/>
    <row r="153" s="107" customFormat="1" ht="12.75" x14ac:dyDescent="0.25"/>
    <row r="154" s="107" customFormat="1" ht="12.75" x14ac:dyDescent="0.25"/>
    <row r="155" s="107" customFormat="1" ht="12.75" x14ac:dyDescent="0.25"/>
    <row r="156" s="107" customFormat="1" ht="12.75" x14ac:dyDescent="0.25"/>
    <row r="157" s="107" customFormat="1" ht="12.75" x14ac:dyDescent="0.25"/>
    <row r="158" s="107" customFormat="1" ht="12.75" x14ac:dyDescent="0.25"/>
    <row r="159" s="107" customFormat="1" ht="12.75" x14ac:dyDescent="0.25"/>
    <row r="160" s="107" customFormat="1" ht="12.75" x14ac:dyDescent="0.25"/>
    <row r="161" s="107" customFormat="1" ht="12.75" x14ac:dyDescent="0.25"/>
    <row r="162" s="107" customFormat="1" ht="12.75" x14ac:dyDescent="0.25"/>
    <row r="163" s="107" customFormat="1" ht="12.75" x14ac:dyDescent="0.25"/>
    <row r="164" s="107" customFormat="1" ht="12.75" x14ac:dyDescent="0.25"/>
    <row r="165" s="107" customFormat="1" ht="12.75" x14ac:dyDescent="0.25"/>
    <row r="166" s="107" customFormat="1" ht="12.75" x14ac:dyDescent="0.25"/>
    <row r="167" s="107" customFormat="1" ht="12.75" x14ac:dyDescent="0.25"/>
    <row r="168" s="107" customFormat="1" ht="12.75" x14ac:dyDescent="0.25"/>
    <row r="169" s="107" customFormat="1" ht="12.75" x14ac:dyDescent="0.25"/>
    <row r="170" s="107" customFormat="1" ht="12.75" x14ac:dyDescent="0.25"/>
    <row r="171" s="107" customFormat="1" ht="12.75" x14ac:dyDescent="0.25"/>
    <row r="172" s="107" customFormat="1" ht="12.75" x14ac:dyDescent="0.25"/>
    <row r="173" s="107" customFormat="1" ht="12.75" x14ac:dyDescent="0.25"/>
    <row r="174" s="107" customFormat="1" ht="12.75" x14ac:dyDescent="0.25"/>
    <row r="175" s="107" customFormat="1" ht="12.75" x14ac:dyDescent="0.25"/>
    <row r="176" s="107" customFormat="1" ht="12.75" x14ac:dyDescent="0.25"/>
    <row r="177" s="107" customFormat="1" ht="12.75" x14ac:dyDescent="0.25"/>
    <row r="178" s="107" customFormat="1" ht="12.75" x14ac:dyDescent="0.25"/>
    <row r="179" s="107" customFormat="1" ht="12.75" x14ac:dyDescent="0.25"/>
    <row r="180" s="107" customFormat="1" ht="12.75" x14ac:dyDescent="0.25"/>
    <row r="181" s="107" customFormat="1" ht="12.75" x14ac:dyDescent="0.25"/>
    <row r="182" s="107" customFormat="1" ht="12.75" x14ac:dyDescent="0.25"/>
    <row r="183" s="107" customFormat="1" ht="12.75" x14ac:dyDescent="0.25"/>
    <row r="184" s="107" customFormat="1" ht="12.75" x14ac:dyDescent="0.25"/>
    <row r="185" s="107" customFormat="1" ht="12.75" x14ac:dyDescent="0.25"/>
    <row r="186" s="107" customFormat="1" ht="12.75" x14ac:dyDescent="0.25"/>
    <row r="187" s="107" customFormat="1" ht="12.75" x14ac:dyDescent="0.25"/>
    <row r="188" s="107" customFormat="1" ht="12.75" x14ac:dyDescent="0.25"/>
    <row r="189" s="107" customFormat="1" ht="12.75" x14ac:dyDescent="0.25"/>
    <row r="190" s="107" customFormat="1" ht="12.75" x14ac:dyDescent="0.25"/>
    <row r="191" s="107" customFormat="1" ht="12.75" x14ac:dyDescent="0.25"/>
    <row r="192" s="107" customFormat="1" ht="12.75" x14ac:dyDescent="0.25"/>
    <row r="193" s="107" customFormat="1" ht="12.75" x14ac:dyDescent="0.25"/>
    <row r="194" s="107" customFormat="1" ht="12.75" x14ac:dyDescent="0.25"/>
    <row r="195" s="107" customFormat="1" ht="12.75" x14ac:dyDescent="0.25"/>
    <row r="196" s="107" customFormat="1" ht="12.75" x14ac:dyDescent="0.25"/>
    <row r="197" s="107" customFormat="1" ht="12.75" x14ac:dyDescent="0.25"/>
    <row r="198" s="107" customFormat="1" ht="12.75" x14ac:dyDescent="0.25"/>
    <row r="199" s="107" customFormat="1" ht="12.75" x14ac:dyDescent="0.25"/>
    <row r="200" s="107" customFormat="1" ht="12.75" x14ac:dyDescent="0.25"/>
    <row r="201" s="107" customFormat="1" ht="12.75" x14ac:dyDescent="0.25"/>
    <row r="202" s="107" customFormat="1" ht="12.75" x14ac:dyDescent="0.25"/>
    <row r="203" s="107" customFormat="1" ht="12.75" x14ac:dyDescent="0.25"/>
    <row r="204" s="107" customFormat="1" ht="12.75" x14ac:dyDescent="0.25"/>
    <row r="205" s="107" customFormat="1" ht="12.75" x14ac:dyDescent="0.25"/>
    <row r="206" s="107" customFormat="1" ht="12.75" x14ac:dyDescent="0.25"/>
    <row r="207" s="107" customFormat="1" ht="12.75" x14ac:dyDescent="0.25"/>
    <row r="208" s="107" customFormat="1" ht="12.75" x14ac:dyDescent="0.25"/>
    <row r="209" s="107" customFormat="1" ht="12.75" x14ac:dyDescent="0.25"/>
    <row r="210" s="107" customFormat="1" ht="12.75" x14ac:dyDescent="0.25"/>
    <row r="211" s="107" customFormat="1" ht="12.75" x14ac:dyDescent="0.25"/>
    <row r="212" s="107" customFormat="1" ht="12.75" x14ac:dyDescent="0.25"/>
    <row r="213" s="107" customFormat="1" ht="12.75" x14ac:dyDescent="0.25"/>
    <row r="214" s="107" customFormat="1" ht="12.75" x14ac:dyDescent="0.25"/>
    <row r="215" s="107" customFormat="1" ht="12.75" x14ac:dyDescent="0.25"/>
    <row r="216" s="107" customFormat="1" ht="12.75" x14ac:dyDescent="0.25"/>
    <row r="217" s="107" customFormat="1" ht="12.75" x14ac:dyDescent="0.25"/>
    <row r="218" s="107" customFormat="1" ht="12.75" x14ac:dyDescent="0.25"/>
    <row r="219" s="107" customFormat="1" ht="12.75" x14ac:dyDescent="0.25"/>
    <row r="220" s="107" customFormat="1" ht="12.75" x14ac:dyDescent="0.25"/>
    <row r="221" s="107" customFormat="1" ht="12.75" x14ac:dyDescent="0.25"/>
    <row r="222" s="107" customFormat="1" ht="12.75" x14ac:dyDescent="0.25"/>
    <row r="223" s="107" customFormat="1" ht="12.75" x14ac:dyDescent="0.25"/>
    <row r="224" s="107" customFormat="1" ht="12.75" x14ac:dyDescent="0.25"/>
    <row r="225" s="107" customFormat="1" ht="12.75" x14ac:dyDescent="0.25"/>
    <row r="226" s="107" customFormat="1" ht="12.75" x14ac:dyDescent="0.25"/>
    <row r="227" s="107" customFormat="1" ht="12.75" x14ac:dyDescent="0.25"/>
    <row r="228" s="107" customFormat="1" ht="12.75" x14ac:dyDescent="0.25"/>
    <row r="229" s="107" customFormat="1" ht="12.75" x14ac:dyDescent="0.25"/>
    <row r="230" s="107" customFormat="1" ht="12.75" x14ac:dyDescent="0.25"/>
    <row r="231" s="107" customFormat="1" ht="12.75" x14ac:dyDescent="0.25"/>
    <row r="232" s="107" customFormat="1" ht="12.75" x14ac:dyDescent="0.25"/>
    <row r="233" s="107" customFormat="1" ht="12.75" x14ac:dyDescent="0.25"/>
    <row r="234" s="107" customFormat="1" ht="12.75" x14ac:dyDescent="0.25"/>
    <row r="235" s="107" customFormat="1" ht="12.75" x14ac:dyDescent="0.25"/>
    <row r="236" s="107" customFormat="1" ht="12.75" x14ac:dyDescent="0.25"/>
    <row r="237" s="107" customFormat="1" ht="12.75" x14ac:dyDescent="0.25"/>
    <row r="238" s="107" customFormat="1" ht="12.75" x14ac:dyDescent="0.25"/>
    <row r="239" s="107" customFormat="1" ht="12.75" x14ac:dyDescent="0.25"/>
    <row r="240" s="107" customFormat="1" ht="12.75" x14ac:dyDescent="0.25"/>
    <row r="241" s="107" customFormat="1" ht="12.75" x14ac:dyDescent="0.25"/>
    <row r="242" s="107" customFormat="1" ht="12.75" x14ac:dyDescent="0.25"/>
    <row r="243" s="107" customFormat="1" ht="12.75" x14ac:dyDescent="0.25"/>
    <row r="244" s="107" customFormat="1" ht="12.75" x14ac:dyDescent="0.25"/>
    <row r="245" s="107" customFormat="1" ht="12.75" x14ac:dyDescent="0.25"/>
    <row r="246" s="107" customFormat="1" ht="12.75" x14ac:dyDescent="0.25"/>
    <row r="247" s="107" customFormat="1" ht="12.75" x14ac:dyDescent="0.25"/>
    <row r="248" s="107" customFormat="1" ht="12.75" x14ac:dyDescent="0.25"/>
    <row r="249" s="107" customFormat="1" ht="12.75" x14ac:dyDescent="0.25"/>
    <row r="250" s="107" customFormat="1" ht="12.75" x14ac:dyDescent="0.25"/>
    <row r="251" s="107" customFormat="1" ht="12.75" x14ac:dyDescent="0.25"/>
    <row r="252" s="107" customFormat="1" ht="12.75" x14ac:dyDescent="0.25"/>
    <row r="253" s="107" customFormat="1" ht="12.75" x14ac:dyDescent="0.25"/>
    <row r="254" s="107" customFormat="1" ht="12.75" x14ac:dyDescent="0.25"/>
    <row r="255" s="107" customFormat="1" ht="12.75" x14ac:dyDescent="0.25"/>
    <row r="256" s="107" customFormat="1" ht="12.75" x14ac:dyDescent="0.25"/>
    <row r="257" s="107" customFormat="1" ht="12.75" x14ac:dyDescent="0.25"/>
    <row r="258" s="107" customFormat="1" ht="12.75" x14ac:dyDescent="0.25"/>
    <row r="259" s="107" customFormat="1" ht="12.75" x14ac:dyDescent="0.25"/>
    <row r="260" s="107" customFormat="1" ht="12.75" x14ac:dyDescent="0.25"/>
    <row r="261" s="107" customFormat="1" ht="12.75" x14ac:dyDescent="0.25"/>
    <row r="262" s="107" customFormat="1" ht="12.75" x14ac:dyDescent="0.25"/>
    <row r="263" s="107" customFormat="1" ht="12.75" x14ac:dyDescent="0.25"/>
    <row r="264" s="107" customFormat="1" ht="12.75" x14ac:dyDescent="0.25"/>
    <row r="265" s="107" customFormat="1" ht="12.75" x14ac:dyDescent="0.25"/>
    <row r="266" s="107" customFormat="1" ht="12.75" x14ac:dyDescent="0.25"/>
    <row r="267" s="107" customFormat="1" ht="12.75" x14ac:dyDescent="0.25"/>
    <row r="268" s="107" customFormat="1" ht="12.75" x14ac:dyDescent="0.25"/>
    <row r="269" s="107" customFormat="1" ht="12.75" x14ac:dyDescent="0.25"/>
    <row r="270" s="107" customFormat="1" ht="12.75" x14ac:dyDescent="0.25"/>
    <row r="271" s="107" customFormat="1" ht="12.75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C2:C271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14" sqref="D14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113" t="s">
        <v>111</v>
      </c>
    </row>
    <row r="2" spans="1:1" x14ac:dyDescent="0.25">
      <c r="A2" s="114" t="s">
        <v>109</v>
      </c>
    </row>
    <row r="3" spans="1:1" x14ac:dyDescent="0.25">
      <c r="A3" s="114" t="s">
        <v>86</v>
      </c>
    </row>
    <row r="4" spans="1:1" x14ac:dyDescent="0.25">
      <c r="A4" s="114" t="s">
        <v>112</v>
      </c>
    </row>
    <row r="5" spans="1:1" x14ac:dyDescent="0.25">
      <c r="A5" s="114" t="s">
        <v>52</v>
      </c>
    </row>
    <row r="6" spans="1:1" x14ac:dyDescent="0.25">
      <c r="A6" s="114" t="s">
        <v>113</v>
      </c>
    </row>
    <row r="7" spans="1:1" x14ac:dyDescent="0.25">
      <c r="A7" s="114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Base</vt:lpstr>
      <vt:lpstr>Planning</vt:lpstr>
      <vt:lpstr>Journal de travail</vt:lpstr>
      <vt:lpstr>Journal de bord</vt:lpstr>
      <vt:lpstr>Journal de travail temporaire</vt:lpstr>
      <vt:lpstr>Paramètres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2023-02-23T13:16:28Z</dcterms:modified>
</cp:coreProperties>
</file>